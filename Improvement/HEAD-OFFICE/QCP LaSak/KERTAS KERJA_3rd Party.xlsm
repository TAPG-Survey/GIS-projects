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trlProps/ctrlProp1.xml" ContentType="application/vnd.ms-excel.controlproperties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1.xml" ContentType="application/vnd.openxmlformats-officedocument.drawingml.chart+xml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10" yWindow="-110" windowWidth="19420" windowHeight="11020" tabRatio="834" firstSheet="1" activeTab="8"/>
  </bookViews>
  <sheets>
    <sheet name="PROFIL QCC" sheetId="76" state="hidden" r:id="rId1"/>
    <sheet name="PROFIL QCP" sheetId="68" r:id="rId2"/>
    <sheet name="Jadwal" sheetId="23" r:id="rId3"/>
    <sheet name="Peta Kemampuan QCC" sheetId="22" state="hidden" r:id="rId4"/>
    <sheet name="Rumus" sheetId="52" state="hidden" r:id="rId5"/>
    <sheet name="Peta Kemampuan QCP" sheetId="77" r:id="rId6"/>
    <sheet name="Step 1A(pilih salah satu)" sheetId="65" r:id="rId7"/>
    <sheet name="Step 1B(pilih satu)" sheetId="56" r:id="rId8"/>
    <sheet name="Step 2" sheetId="64" r:id="rId9"/>
    <sheet name="Step 3" sheetId="27" r:id="rId10"/>
    <sheet name="Step 4" sheetId="26" r:id="rId11"/>
    <sheet name="Tambahan Step 4 Uji Balik" sheetId="70" r:id="rId12"/>
    <sheet name="Tambahan step 4 Prioritas " sheetId="71" r:id="rId13"/>
    <sheet name="Tambahan Step 5 Alt Solusi" sheetId="73" r:id="rId14"/>
    <sheet name="Step 5 " sheetId="28" r:id="rId15"/>
    <sheet name="Step 6" sheetId="29" r:id="rId16"/>
    <sheet name="Step 7" sheetId="32" r:id="rId17"/>
    <sheet name="Step 7b" sheetId="33" r:id="rId18"/>
    <sheet name="Step 7b (2)" sheetId="78" r:id="rId19"/>
    <sheet name="Tambahan Step 7 Cost benefit" sheetId="74" r:id="rId20"/>
    <sheet name="Step 8" sheetId="34" r:id="rId21"/>
    <sheet name="FORMAT IK" sheetId="75" r:id="rId22"/>
    <sheet name="Step 8a" sheetId="36" r:id="rId23"/>
  </sheets>
  <definedNames>
    <definedName name="_xlnm._FilterDatabase" localSheetId="8" hidden="1">'Step 2'!#REF!</definedName>
    <definedName name="_xlnm.Print_Area" localSheetId="2">Jadwal!$A$1:$AD$33</definedName>
    <definedName name="_xlnm.Print_Area" localSheetId="3">'Peta Kemampuan QCC'!$A$1:$I$41</definedName>
    <definedName name="_xlnm.Print_Area" localSheetId="5">'Peta Kemampuan QCP'!$A$1:$I$40</definedName>
    <definedName name="_xlnm.Print_Area" localSheetId="6">'Step 1A(pilih salah satu)'!$A$1:$N$38</definedName>
    <definedName name="_xlnm.Print_Area" localSheetId="7">'Step 1B(pilih satu)'!$A$1:$Q$38</definedName>
    <definedName name="_xlnm.Print_Area" localSheetId="8">'Step 2'!$A$1:$N$32</definedName>
    <definedName name="_xlnm.Print_Area" localSheetId="9">'Step 3'!$A$1:$J$40</definedName>
    <definedName name="_xlnm.Print_Area" localSheetId="10">'Step 4'!$A$1:$N$38</definedName>
    <definedName name="_xlnm.Print_Area" localSheetId="14">'Step 5 '!$A$1:$AL$50</definedName>
    <definedName name="_xlnm.Print_Area" localSheetId="16">'Step 7'!$A$1:$J$46</definedName>
    <definedName name="_xlnm.Print_Area" localSheetId="17">'Step 7b'!$A$1:$L$42</definedName>
    <definedName name="_xlnm.Print_Area" localSheetId="18">'Step 7b (2)'!$A$1:$L$42</definedName>
    <definedName name="_xlnm.Print_Area" localSheetId="20">'Step 8'!$A$1:$H$31</definedName>
    <definedName name="_xlnm.Print_Area" localSheetId="22">'Step 8a'!$A$1:$U$47</definedName>
    <definedName name="_xlnm.Print_Titles" localSheetId="8">'Step 2'!#REF!</definedName>
  </definedNames>
  <calcPr calcId="144525"/>
  <pivotCaches>
    <pivotCache cacheId="0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56" l="1"/>
  <c r="M10" i="56"/>
  <c r="M9" i="56"/>
  <c r="K9" i="56"/>
  <c r="J9" i="56"/>
  <c r="I9" i="56"/>
  <c r="H9" i="56"/>
  <c r="L11" i="56"/>
  <c r="G8" i="65"/>
  <c r="F8" i="65"/>
  <c r="E8" i="65"/>
  <c r="G9" i="65"/>
  <c r="F9" i="65"/>
  <c r="E9" i="65"/>
  <c r="D9" i="65"/>
  <c r="K17" i="78" l="1"/>
  <c r="J17" i="78"/>
  <c r="I17" i="78"/>
  <c r="L17" i="78" s="1"/>
  <c r="L16" i="78"/>
  <c r="G16" i="78"/>
  <c r="F16" i="78"/>
  <c r="E16" i="78"/>
  <c r="H16" i="78" s="1"/>
  <c r="D16" i="78"/>
  <c r="C16" i="78"/>
  <c r="B16" i="78"/>
  <c r="L15" i="78"/>
  <c r="G15" i="78"/>
  <c r="F15" i="78"/>
  <c r="E15" i="78"/>
  <c r="H15" i="78" s="1"/>
  <c r="D15" i="78"/>
  <c r="C15" i="78"/>
  <c r="B15" i="78"/>
  <c r="L14" i="78"/>
  <c r="H14" i="78"/>
  <c r="G14" i="78"/>
  <c r="F14" i="78"/>
  <c r="E14" i="78"/>
  <c r="D14" i="78"/>
  <c r="C14" i="78"/>
  <c r="B14" i="78"/>
  <c r="L13" i="78"/>
  <c r="G13" i="78"/>
  <c r="F13" i="78"/>
  <c r="E13" i="78"/>
  <c r="H13" i="78" s="1"/>
  <c r="D13" i="78"/>
  <c r="C13" i="78"/>
  <c r="B13" i="78"/>
  <c r="L12" i="78"/>
  <c r="G12" i="78"/>
  <c r="F12" i="78"/>
  <c r="E12" i="78"/>
  <c r="H12" i="78" s="1"/>
  <c r="D12" i="78"/>
  <c r="L11" i="78"/>
  <c r="H11" i="78"/>
  <c r="G11" i="78"/>
  <c r="F11" i="78"/>
  <c r="E11" i="78"/>
  <c r="D11" i="78"/>
  <c r="L10" i="78"/>
  <c r="G10" i="78"/>
  <c r="F10" i="78"/>
  <c r="E10" i="78"/>
  <c r="H10" i="78" s="1"/>
  <c r="D10" i="78"/>
  <c r="L9" i="78"/>
  <c r="G9" i="78"/>
  <c r="F9" i="78"/>
  <c r="E9" i="78"/>
  <c r="H9" i="78" s="1"/>
  <c r="D9" i="78"/>
  <c r="L8" i="78"/>
  <c r="H8" i="78"/>
  <c r="G8" i="78"/>
  <c r="F8" i="78"/>
  <c r="E8" i="78"/>
  <c r="D8" i="78"/>
  <c r="L7" i="78"/>
  <c r="G7" i="78"/>
  <c r="G17" i="78" s="1"/>
  <c r="F7" i="78"/>
  <c r="F17" i="78" s="1"/>
  <c r="E7" i="78"/>
  <c r="E17" i="78" s="1"/>
  <c r="H17" i="78" s="1"/>
  <c r="D7" i="78"/>
  <c r="D17" i="78" s="1"/>
  <c r="B13" i="33"/>
  <c r="B14" i="33"/>
  <c r="B15" i="33"/>
  <c r="B16" i="33"/>
  <c r="B6" i="26"/>
  <c r="B5" i="26"/>
  <c r="D23" i="64"/>
  <c r="D24" i="64"/>
  <c r="D25" i="64"/>
  <c r="D26" i="64"/>
  <c r="D27" i="64"/>
  <c r="D28" i="64"/>
  <c r="D29" i="64"/>
  <c r="D30" i="64"/>
  <c r="D31" i="64"/>
  <c r="D22" i="64"/>
  <c r="C5" i="26" s="1"/>
  <c r="B24" i="64"/>
  <c r="B25" i="64"/>
  <c r="B26" i="64"/>
  <c r="B27" i="64"/>
  <c r="B28" i="64"/>
  <c r="B29" i="64"/>
  <c r="B30" i="64"/>
  <c r="B31" i="64"/>
  <c r="B22" i="64"/>
  <c r="L7" i="64"/>
  <c r="L8" i="64"/>
  <c r="L9" i="64"/>
  <c r="L10" i="64"/>
  <c r="L11" i="64"/>
  <c r="L12" i="64"/>
  <c r="L13" i="64"/>
  <c r="L14" i="64"/>
  <c r="L15" i="64"/>
  <c r="L16" i="64"/>
  <c r="L17" i="64"/>
  <c r="H9" i="65"/>
  <c r="H8" i="65"/>
  <c r="B14" i="77" a="1"/>
  <c r="B14" i="77" s="1"/>
  <c r="B13" i="77" a="1"/>
  <c r="B13" i="77" s="1"/>
  <c r="B12" i="77" a="1"/>
  <c r="B12" i="77" s="1"/>
  <c r="B11" i="77" a="1"/>
  <c r="B11" i="77" s="1"/>
  <c r="B10" i="77" a="1"/>
  <c r="B10" i="77" s="1"/>
  <c r="B9" i="77" a="1"/>
  <c r="B9" i="77" s="1"/>
  <c r="B8" i="77" a="1"/>
  <c r="B8" i="77" s="1"/>
  <c r="B7" i="77" a="1"/>
  <c r="B7" i="77" s="1"/>
  <c r="G15" i="77"/>
  <c r="F15" i="77"/>
  <c r="E15" i="77"/>
  <c r="D15" i="77"/>
  <c r="H14" i="77"/>
  <c r="H13" i="77"/>
  <c r="H12" i="77"/>
  <c r="H11" i="77"/>
  <c r="H10" i="77"/>
  <c r="H9" i="77"/>
  <c r="H8" i="77"/>
  <c r="H7" i="77"/>
  <c r="H15" i="77" s="1"/>
  <c r="B15" i="22" a="1"/>
  <c r="B15" i="22" s="1"/>
  <c r="B14" i="22" a="1"/>
  <c r="B14" i="22" s="1"/>
  <c r="B13" i="22" a="1"/>
  <c r="B13" i="22" s="1"/>
  <c r="B12" i="22" a="1"/>
  <c r="B12" i="22" s="1"/>
  <c r="B12" i="78" s="1"/>
  <c r="B11" i="22" a="1"/>
  <c r="B11" i="22" s="1"/>
  <c r="B11" i="33" s="1"/>
  <c r="B10" i="22" a="1"/>
  <c r="B10" i="22" s="1"/>
  <c r="B10" i="33" s="1"/>
  <c r="B9" i="22" a="1"/>
  <c r="B9" i="22" s="1"/>
  <c r="B9" i="78" s="1"/>
  <c r="B8" i="22" a="1"/>
  <c r="B8" i="22" s="1"/>
  <c r="B8" i="78" s="1"/>
  <c r="B7" i="22" a="1"/>
  <c r="B7" i="22" s="1"/>
  <c r="B7" i="78" s="1"/>
  <c r="L9" i="56" l="1"/>
  <c r="B12" i="33"/>
  <c r="C12" i="78"/>
  <c r="B11" i="78"/>
  <c r="C11" i="78"/>
  <c r="B10" i="78"/>
  <c r="C10" i="78"/>
  <c r="B9" i="33"/>
  <c r="C9" i="78"/>
  <c r="B8" i="33"/>
  <c r="C8" i="78"/>
  <c r="B7" i="33"/>
  <c r="C7" i="78"/>
  <c r="H7" i="78"/>
  <c r="C17" i="78" l="1"/>
  <c r="O3" i="76"/>
  <c r="K17" i="65" l="1"/>
  <c r="B13" i="74" l="1"/>
  <c r="B5" i="71"/>
  <c r="E36" i="27"/>
  <c r="O3" i="68"/>
  <c r="H10" i="65" l="1"/>
  <c r="G11" i="65"/>
  <c r="F11" i="65"/>
  <c r="D11" i="65"/>
  <c r="E11" i="65"/>
  <c r="H11" i="65" l="1"/>
  <c r="P16" i="65"/>
  <c r="P15" i="65"/>
  <c r="R13" i="65"/>
  <c r="H5" i="65"/>
  <c r="F8" i="27" l="1"/>
  <c r="M11" i="56" l="1"/>
  <c r="N11" i="56" l="1"/>
  <c r="A11" i="56" s="1"/>
  <c r="M12" i="56"/>
  <c r="K5" i="56" l="1"/>
  <c r="I36" i="27" l="1"/>
  <c r="D6" i="27" s="1"/>
  <c r="O34" i="29" l="1"/>
  <c r="I34" i="29"/>
  <c r="O31" i="29"/>
  <c r="I31" i="29"/>
  <c r="O28" i="29"/>
  <c r="I28" i="29"/>
  <c r="E47" i="28"/>
  <c r="A34" i="29" s="1"/>
  <c r="E44" i="28"/>
  <c r="A31" i="29" s="1"/>
  <c r="E41" i="28"/>
  <c r="A28" i="29" s="1"/>
  <c r="S22" i="52" l="1"/>
  <c r="R22" i="52" s="1"/>
  <c r="S21" i="52"/>
  <c r="R21" i="52" s="1"/>
  <c r="S20" i="52"/>
  <c r="R20" i="52" s="1"/>
  <c r="S19" i="52"/>
  <c r="R19" i="52" s="1"/>
  <c r="S18" i="52"/>
  <c r="R18" i="52" s="1"/>
  <c r="S17" i="52"/>
  <c r="R17" i="52" s="1"/>
  <c r="S16" i="52"/>
  <c r="R16" i="52" s="1"/>
  <c r="S15" i="52"/>
  <c r="R15" i="52" s="1"/>
  <c r="S14" i="52"/>
  <c r="C14" i="26" s="1"/>
  <c r="F14" i="28" s="1"/>
  <c r="S13" i="52"/>
  <c r="C13" i="26" s="1"/>
  <c r="F13" i="28" s="1"/>
  <c r="S12" i="52"/>
  <c r="S11" i="52"/>
  <c r="C11" i="26" s="1"/>
  <c r="S10" i="52"/>
  <c r="C10" i="26" s="1"/>
  <c r="S8" i="52"/>
  <c r="C8" i="26" s="1"/>
  <c r="S7" i="52"/>
  <c r="S6" i="52"/>
  <c r="S5" i="52"/>
  <c r="S9" i="52"/>
  <c r="C9" i="26" s="1"/>
  <c r="R4" i="52"/>
  <c r="S4" i="52"/>
  <c r="R14" i="52" l="1"/>
  <c r="B14" i="26" s="1"/>
  <c r="A14" i="28" s="1"/>
  <c r="A47" i="28" s="1"/>
  <c r="C12" i="26"/>
  <c r="F12" i="28" s="1"/>
  <c r="R13" i="52"/>
  <c r="B13" i="26" s="1"/>
  <c r="A13" i="28" s="1"/>
  <c r="A44" i="28" s="1"/>
  <c r="C6" i="26"/>
  <c r="C7" i="26"/>
  <c r="R10" i="52"/>
  <c r="R11" i="52"/>
  <c r="R12" i="52"/>
  <c r="R5" i="52"/>
  <c r="B11" i="26" l="1"/>
  <c r="B12" i="26"/>
  <c r="A12" i="28" s="1"/>
  <c r="A41" i="28" s="1"/>
  <c r="B10" i="26"/>
  <c r="R6" i="52"/>
  <c r="R7" i="52" l="1"/>
  <c r="B7" i="26" s="1"/>
  <c r="L16" i="33"/>
  <c r="L15" i="33"/>
  <c r="L14" i="33"/>
  <c r="L13" i="33"/>
  <c r="L12" i="33"/>
  <c r="L11" i="33"/>
  <c r="L10" i="33"/>
  <c r="L9" i="33"/>
  <c r="L8" i="33"/>
  <c r="L7" i="33"/>
  <c r="R8" i="52" l="1"/>
  <c r="B8" i="26" s="1"/>
  <c r="H15" i="22"/>
  <c r="H14" i="22"/>
  <c r="H13" i="22"/>
  <c r="H12" i="22"/>
  <c r="H11" i="22"/>
  <c r="H10" i="22"/>
  <c r="H9" i="22"/>
  <c r="H8" i="22"/>
  <c r="H7" i="22"/>
  <c r="R9" i="52" l="1"/>
  <c r="K17" i="33"/>
  <c r="G16" i="33"/>
  <c r="G15" i="33"/>
  <c r="G14" i="33"/>
  <c r="G13" i="33"/>
  <c r="G12" i="33"/>
  <c r="G11" i="33"/>
  <c r="G10" i="33"/>
  <c r="G9" i="33"/>
  <c r="G8" i="33"/>
  <c r="G7" i="33"/>
  <c r="B9" i="26" l="1"/>
  <c r="G17" i="33"/>
  <c r="G16" i="22" l="1"/>
  <c r="F16" i="22"/>
  <c r="E16" i="22"/>
  <c r="D16" i="22"/>
  <c r="C16" i="22"/>
  <c r="E23" i="28" l="1"/>
  <c r="O25" i="29" l="1"/>
  <c r="O22" i="29"/>
  <c r="O19" i="29"/>
  <c r="O16" i="29"/>
  <c r="O13" i="29"/>
  <c r="O10" i="29"/>
  <c r="O7" i="29"/>
  <c r="I25" i="29"/>
  <c r="I22" i="29"/>
  <c r="I19" i="29"/>
  <c r="I16" i="29"/>
  <c r="I13" i="29"/>
  <c r="I10" i="29"/>
  <c r="I7" i="29"/>
  <c r="B10" i="32" l="1"/>
  <c r="H16" i="22" l="1"/>
  <c r="F8" i="33" l="1"/>
  <c r="F9" i="33"/>
  <c r="F10" i="33"/>
  <c r="F11" i="33"/>
  <c r="F12" i="33"/>
  <c r="F13" i="33"/>
  <c r="F14" i="33"/>
  <c r="F15" i="33"/>
  <c r="F16" i="33"/>
  <c r="E8" i="33"/>
  <c r="E9" i="33"/>
  <c r="E10" i="33"/>
  <c r="E11" i="33"/>
  <c r="E12" i="33"/>
  <c r="E13" i="33"/>
  <c r="E14" i="33"/>
  <c r="E15" i="33"/>
  <c r="E16" i="33"/>
  <c r="D8" i="33"/>
  <c r="D9" i="33"/>
  <c r="D10" i="33"/>
  <c r="D11" i="33"/>
  <c r="D12" i="33"/>
  <c r="D13" i="33"/>
  <c r="D14" i="33"/>
  <c r="D15" i="33"/>
  <c r="D16" i="33"/>
  <c r="D7" i="33"/>
  <c r="E7" i="33"/>
  <c r="F7" i="33"/>
  <c r="C8" i="33"/>
  <c r="C9" i="33"/>
  <c r="C10" i="33"/>
  <c r="C11" i="33"/>
  <c r="C12" i="33"/>
  <c r="C13" i="33"/>
  <c r="C14" i="33"/>
  <c r="C15" i="33"/>
  <c r="C16" i="33"/>
  <c r="C7" i="33"/>
  <c r="H13" i="33" l="1"/>
  <c r="H16" i="33"/>
  <c r="H14" i="33"/>
  <c r="H12" i="33"/>
  <c r="H8" i="33"/>
  <c r="H15" i="33"/>
  <c r="H9" i="33"/>
  <c r="H11" i="33"/>
  <c r="H7" i="33"/>
  <c r="H10" i="33"/>
  <c r="F17" i="33"/>
  <c r="E17" i="33"/>
  <c r="D17" i="33"/>
  <c r="H17" i="33" l="1"/>
  <c r="C17" i="33" l="1"/>
  <c r="J17" i="33"/>
  <c r="I17" i="33"/>
  <c r="H8" i="32" l="1"/>
  <c r="B8" i="32"/>
  <c r="I8" i="32" s="1"/>
  <c r="L17" i="33"/>
  <c r="P24" i="32"/>
  <c r="O24" i="32"/>
  <c r="O20" i="32"/>
  <c r="O19" i="32"/>
  <c r="P20" i="32" s="1"/>
  <c r="P16" i="32"/>
  <c r="Q16" i="32" s="1"/>
  <c r="O15" i="32"/>
  <c r="O14" i="32"/>
  <c r="P12" i="32"/>
  <c r="P8" i="32"/>
  <c r="P9" i="32" s="1"/>
  <c r="P10" i="32" s="1"/>
  <c r="M5" i="32"/>
  <c r="F6" i="27" l="1"/>
  <c r="G6" i="27" s="1"/>
  <c r="E38" i="28"/>
  <c r="A25" i="29" s="1"/>
  <c r="E35" i="28"/>
  <c r="A22" i="29" s="1"/>
  <c r="E32" i="28"/>
  <c r="A19" i="29" s="1"/>
  <c r="E29" i="28"/>
  <c r="A16" i="29" s="1"/>
  <c r="E26" i="28"/>
  <c r="A13" i="29" s="1"/>
  <c r="A10" i="29"/>
  <c r="E20" i="28"/>
  <c r="A7" i="29" s="1"/>
  <c r="A11" i="28"/>
  <c r="A38" i="28" s="1"/>
  <c r="J8" i="32" l="1"/>
  <c r="I5" i="32"/>
  <c r="F10" i="28"/>
  <c r="F9" i="28"/>
  <c r="F8" i="28"/>
  <c r="F7" i="28"/>
  <c r="F6" i="28"/>
  <c r="F5" i="28"/>
  <c r="A10" i="28"/>
  <c r="A35" i="28" s="1"/>
  <c r="A6" i="28" l="1"/>
  <c r="A23" i="28" s="1"/>
  <c r="A7" i="28"/>
  <c r="A26" i="28" s="1"/>
  <c r="A8" i="28"/>
  <c r="A29" i="28" s="1"/>
  <c r="A9" i="28"/>
  <c r="A32" i="28" s="1"/>
  <c r="A5" i="28"/>
  <c r="A20" i="28" s="1"/>
  <c r="D9" i="27" l="1"/>
  <c r="O20" i="27"/>
  <c r="O15" i="27"/>
  <c r="P24" i="27"/>
  <c r="O24" i="27"/>
  <c r="P16" i="27"/>
  <c r="Q16" i="27" s="1"/>
  <c r="O19" i="27"/>
  <c r="P20" i="27" s="1"/>
  <c r="O14" i="27"/>
  <c r="P12" i="27"/>
  <c r="M6" i="27"/>
  <c r="P8" i="27"/>
  <c r="P9" i="27" s="1"/>
  <c r="P10" i="27" s="1"/>
  <c r="F11" i="28" l="1"/>
  <c r="B4" i="23" l="1"/>
  <c r="N10" i="56"/>
  <c r="A10" i="56" s="1"/>
  <c r="N9" i="56"/>
  <c r="A9" i="56" l="1"/>
  <c r="B17" i="56"/>
  <c r="B18" i="56"/>
  <c r="B19" i="56"/>
  <c r="B20" i="56" l="1"/>
  <c r="D19" i="56" s="1"/>
  <c r="C19" i="56"/>
  <c r="C18" i="56"/>
  <c r="C17" i="56"/>
  <c r="D18" i="56" l="1"/>
  <c r="D17" i="56"/>
  <c r="F17" i="56" l="1"/>
  <c r="F18" i="56" s="1"/>
  <c r="F19" i="56" s="1"/>
  <c r="E17" i="56"/>
  <c r="E18" i="56" s="1"/>
  <c r="E19" i="56" s="1"/>
  <c r="B9" i="27" l="1"/>
  <c r="C9" i="27"/>
  <c r="C14" i="77"/>
  <c r="C13" i="77"/>
  <c r="C12" i="77"/>
  <c r="C11" i="77"/>
  <c r="C10" i="77"/>
  <c r="C9" i="77"/>
  <c r="C8" i="77"/>
  <c r="C7" i="77"/>
  <c r="C15" i="22"/>
  <c r="C14" i="22"/>
  <c r="C13" i="22"/>
  <c r="C12" i="22"/>
  <c r="C11" i="22"/>
  <c r="C10" i="22"/>
  <c r="C9" i="22"/>
  <c r="C8" i="22"/>
  <c r="C7" i="22"/>
  <c r="C15" i="77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<sst xmlns="http://schemas.openxmlformats.org/spreadsheetml/2006/main" count="980" uniqueCount="413">
  <si>
    <t>√</t>
  </si>
  <si>
    <t>PEMBENTUKAN QCC</t>
  </si>
  <si>
    <t>STRUKTUR ORGANISASI QCC</t>
  </si>
  <si>
    <t>x</t>
  </si>
  <si>
    <t xml:space="preserve">PROFIL GROUP </t>
  </si>
  <si>
    <t>GROUP</t>
  </si>
  <si>
    <t>:</t>
  </si>
  <si>
    <r>
      <t xml:space="preserve">(beri tanda </t>
    </r>
    <r>
      <rPr>
        <i/>
        <sz val="11"/>
        <color theme="1"/>
        <rFont val="Calibri"/>
        <family val="2"/>
      </rPr>
      <t>√</t>
    </r>
    <r>
      <rPr>
        <i/>
        <sz val="11"/>
        <color theme="1"/>
        <rFont val="Calibri"/>
        <family val="2"/>
        <scheme val="minor"/>
      </rPr>
      <t>)</t>
    </r>
  </si>
  <si>
    <t>NAMA PT</t>
  </si>
  <si>
    <t>NAMA GROUP</t>
  </si>
  <si>
    <t>DEPT/DIV/BAGIAN</t>
  </si>
  <si>
    <t>TGL TERBENTUK</t>
  </si>
  <si>
    <t>TEMA</t>
  </si>
  <si>
    <t>TEMA KE -</t>
  </si>
  <si>
    <t>FASILITATOR</t>
  </si>
  <si>
    <t>B</t>
  </si>
  <si>
    <t>Jabatan:</t>
  </si>
  <si>
    <t>NIK</t>
  </si>
  <si>
    <t>&lt; Di isi NIK &gt;</t>
  </si>
  <si>
    <t>CIRCLE LEADER</t>
  </si>
  <si>
    <t>A</t>
  </si>
  <si>
    <t>NOTULEN</t>
  </si>
  <si>
    <t>C</t>
  </si>
  <si>
    <t>TEMA LEADER</t>
  </si>
  <si>
    <t>D</t>
  </si>
  <si>
    <t>ANGGOTA</t>
  </si>
  <si>
    <t>1.</t>
  </si>
  <si>
    <t>2.</t>
  </si>
  <si>
    <t>3.</t>
  </si>
  <si>
    <t>4.</t>
  </si>
  <si>
    <t>5.</t>
  </si>
  <si>
    <t>E</t>
  </si>
  <si>
    <t>6.</t>
  </si>
  <si>
    <t>F</t>
  </si>
  <si>
    <t xml:space="preserve">HISTORI TEMA </t>
  </si>
  <si>
    <t>TEMA KE 1</t>
  </si>
  <si>
    <t>TEMA KE 2</t>
  </si>
  <si>
    <t>TEMA KE 3</t>
  </si>
  <si>
    <t>TEMA KE 4</t>
  </si>
  <si>
    <t>Note : kolom nama terisi otomatis, cukup masukan photo saja sesuai nama.</t>
  </si>
  <si>
    <t>TEMA KE 5</t>
  </si>
  <si>
    <t>(Kota, tggl/bulan/tahun)</t>
  </si>
  <si>
    <t>PEMBENTUKAN QCP</t>
  </si>
  <si>
    <t>STRUKTUR ORGANISASI QCP</t>
  </si>
  <si>
    <t>QCP</t>
  </si>
  <si>
    <t>PROJECT LEADER</t>
  </si>
  <si>
    <t xml:space="preserve">RENCANA KEGIATAN CIRCLE </t>
  </si>
  <si>
    <t>PDCA</t>
  </si>
  <si>
    <t>Step</t>
  </si>
  <si>
    <t>Keterangan</t>
  </si>
  <si>
    <t>Mei</t>
  </si>
  <si>
    <t>Sept</t>
  </si>
  <si>
    <t>Okt</t>
  </si>
  <si>
    <t>Nov</t>
  </si>
  <si>
    <t>Des</t>
  </si>
  <si>
    <t>M1</t>
  </si>
  <si>
    <t>M2</t>
  </si>
  <si>
    <t>M3</t>
  </si>
  <si>
    <t>M4</t>
  </si>
  <si>
    <t>&lt;Pilih Tahun&gt;</t>
  </si>
  <si>
    <t>&lt; Pilih Bulan &gt;</t>
  </si>
  <si>
    <t>P</t>
  </si>
  <si>
    <t>Contoh</t>
  </si>
  <si>
    <t>Menentukan Tema</t>
  </si>
  <si>
    <t>Plan</t>
  </si>
  <si>
    <t>Jan</t>
  </si>
  <si>
    <t>Actual</t>
  </si>
  <si>
    <t>Feb</t>
  </si>
  <si>
    <t>Step 1</t>
  </si>
  <si>
    <t>Mar</t>
  </si>
  <si>
    <t>Apr</t>
  </si>
  <si>
    <t>Step 2</t>
  </si>
  <si>
    <t>Analisa Kondisi Yang Ada</t>
  </si>
  <si>
    <t>2014-2015</t>
  </si>
  <si>
    <t>Jun</t>
  </si>
  <si>
    <t>Step 3</t>
  </si>
  <si>
    <t>Menentukan Target</t>
  </si>
  <si>
    <t>Jul</t>
  </si>
  <si>
    <t>2015-2016</t>
  </si>
  <si>
    <t>Aug</t>
  </si>
  <si>
    <t>Step 4</t>
  </si>
  <si>
    <t>Analisa Sebab Akibat</t>
  </si>
  <si>
    <t>2016-2017</t>
  </si>
  <si>
    <t>Step 5</t>
  </si>
  <si>
    <t>Rencana Penanggulangan</t>
  </si>
  <si>
    <t>Do</t>
  </si>
  <si>
    <t>Step 6</t>
  </si>
  <si>
    <t>Pelaksanaan Penanggulangan</t>
  </si>
  <si>
    <t>Check</t>
  </si>
  <si>
    <t>Step 7</t>
  </si>
  <si>
    <t>Evaluasi Hasil</t>
  </si>
  <si>
    <t>Action</t>
  </si>
  <si>
    <t>Step 8</t>
  </si>
  <si>
    <t>Standardisasi &amp; Rencana Berikutnya</t>
  </si>
  <si>
    <t>Keterangan :</t>
  </si>
  <si>
    <t>: Rencana / Plan</t>
  </si>
  <si>
    <t>: Actual</t>
  </si>
  <si>
    <t>PETA KEMAMPUAN ANGGOTA SEBELUM QCC</t>
  </si>
  <si>
    <t>No.</t>
  </si>
  <si>
    <t>Nama</t>
  </si>
  <si>
    <t>Usia (Tahun)</t>
  </si>
  <si>
    <t>Masa Kerja (Tahun)</t>
  </si>
  <si>
    <t>7 Alat*</t>
  </si>
  <si>
    <t>8 Langkah*</t>
  </si>
  <si>
    <t>Pemahaman*</t>
  </si>
  <si>
    <t>Total Nilai</t>
  </si>
  <si>
    <t>Jml Benar</t>
  </si>
  <si>
    <t>7.</t>
  </si>
  <si>
    <t>8.</t>
  </si>
  <si>
    <t>9.</t>
  </si>
  <si>
    <t>Rata-Rata</t>
  </si>
  <si>
    <t>*Isilah dengan angka skala 0 - 100 (sesuai dengan tes yang dilakukan)</t>
  </si>
  <si>
    <t>Status</t>
  </si>
  <si>
    <t xml:space="preserve">Faktor </t>
  </si>
  <si>
    <t>Kondisi Aktual</t>
  </si>
  <si>
    <t>Material</t>
  </si>
  <si>
    <t>Metode</t>
  </si>
  <si>
    <t>PETA KEMAMPUAN ANGGOTA SEBELUM QCP</t>
  </si>
  <si>
    <t>STEP 1. MENENTUKAN TEMA</t>
  </si>
  <si>
    <t>TABEL PERBANDINGAN MASALAH</t>
  </si>
  <si>
    <t>ton/hari</t>
  </si>
  <si>
    <t>Item/Masalah</t>
  </si>
  <si>
    <t>Pencapaian per bulan</t>
  </si>
  <si>
    <t>Juli</t>
  </si>
  <si>
    <t>Agustus</t>
  </si>
  <si>
    <t>Rata-rata</t>
  </si>
  <si>
    <t>Kondisi Actual  (WAH)</t>
  </si>
  <si>
    <t>Standard (Nilai/Angka)</t>
  </si>
  <si>
    <t>Kondisi Seharusnya (WSBH)</t>
  </si>
  <si>
    <t>Target ( &gt; / &lt; )</t>
  </si>
  <si>
    <t>Rendah lebih baik</t>
  </si>
  <si>
    <t>GAP</t>
  </si>
  <si>
    <t>Semakin tinggi=Semakin baik</t>
  </si>
  <si>
    <t>Masalah Terpilih            :</t>
  </si>
  <si>
    <t>Tema /Judul QCC           :</t>
  </si>
  <si>
    <t xml:space="preserve">1. Untuk mendukung KPI </t>
  </si>
  <si>
    <t>3. Tingkat urgensi</t>
  </si>
  <si>
    <t>2. Atas perintah atasan       4. Keputusan seluruh anggota</t>
  </si>
  <si>
    <t>Jelaskan Dampak QCDSME</t>
  </si>
  <si>
    <r>
      <rPr>
        <b/>
        <sz val="11"/>
        <color theme="1"/>
        <rFont val="Calibri"/>
        <family val="2"/>
        <scheme val="minor"/>
      </rPr>
      <t>Q</t>
    </r>
    <r>
      <rPr>
        <sz val="11"/>
        <color theme="1"/>
        <rFont val="Calibri"/>
        <family val="2"/>
        <scheme val="minor"/>
      </rPr>
      <t xml:space="preserve">uality : </t>
    </r>
  </si>
  <si>
    <t xml:space="preserve">Perhatian!!! grafik akan muncul otomatis </t>
  </si>
  <si>
    <r>
      <rPr>
        <b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ost : </t>
    </r>
  </si>
  <si>
    <r>
      <rPr>
        <b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oral : </t>
    </r>
  </si>
  <si>
    <r>
      <rPr>
        <b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elivery : </t>
    </r>
  </si>
  <si>
    <r>
      <rPr>
        <b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nvironment :</t>
    </r>
  </si>
  <si>
    <r>
      <rPr>
        <b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afety :</t>
    </r>
  </si>
  <si>
    <t>Masalah</t>
  </si>
  <si>
    <t>Target ( &gt; / &lt;)</t>
  </si>
  <si>
    <t>Standard / Target (Nilai)</t>
  </si>
  <si>
    <t>Satuan</t>
  </si>
  <si>
    <t>Actual pencapaian</t>
  </si>
  <si>
    <t>Selisih / GAP</t>
  </si>
  <si>
    <t>Bln</t>
  </si>
  <si>
    <t xml:space="preserve">Tinggi lebih baik </t>
  </si>
  <si>
    <t>Nol</t>
  </si>
  <si>
    <t>Standard</t>
  </si>
  <si>
    <t>Selisih</t>
  </si>
  <si>
    <t>Menurunkan/Meningkatkan …??</t>
  </si>
  <si>
    <t>Alasan Pemilihan Thena                                    (pilih salah satu atau 2) :</t>
  </si>
  <si>
    <t xml:space="preserve">2. Atas perintah atasan       </t>
  </si>
  <si>
    <t>4. Keputusan anggota</t>
  </si>
  <si>
    <r>
      <t xml:space="preserve">Perhatian!!! diagram akan muncul otomatis tetapi diagram pareto belum sempurna ikuti langkah berikut ini untuk menyempurnakannnya : 
1. klik kanan </t>
    </r>
    <r>
      <rPr>
        <u/>
        <sz val="10"/>
        <color theme="1"/>
        <rFont val="Calibri"/>
        <family val="2"/>
        <scheme val="minor"/>
      </rPr>
      <t>pada angka di grafik sebelah kiri</t>
    </r>
    <r>
      <rPr>
        <sz val="10"/>
        <color theme="1"/>
        <rFont val="Calibri"/>
        <family val="2"/>
        <scheme val="minor"/>
      </rPr>
      <t>, pilih format axis
2. Pilih fixed pada</t>
    </r>
    <r>
      <rPr>
        <u/>
        <sz val="10"/>
        <color theme="1"/>
        <rFont val="Calibri"/>
        <family val="2"/>
        <scheme val="minor"/>
      </rPr>
      <t xml:space="preserve"> kolom maximum &amp; isi dengan data total pada tabel kolom K12</t>
    </r>
  </si>
  <si>
    <r>
      <rPr>
        <b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ost :</t>
    </r>
  </si>
  <si>
    <r>
      <rPr>
        <b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oral :</t>
    </r>
  </si>
  <si>
    <t>LANGKAH 2a. ANALISA KONDISI YANG ADA</t>
  </si>
  <si>
    <t>Lakukan Genba ke lapangan untuk melihat kondisi yang sebenarnya.</t>
  </si>
  <si>
    <t>Buatlah daftar temuan dan kelompokkan ke dalam faktor 4M - 1E (tidak harus semua faktor ada di sesuaikan dengan masalahnya)</t>
  </si>
  <si>
    <t>List pendapat team dari hasil genba mengenai penyimpangan dan kemungkinan penyebab yang menimbulkan permasalahan tersebut.</t>
  </si>
  <si>
    <t>No</t>
  </si>
  <si>
    <t>Kondisi Seharusnya / Standard</t>
  </si>
  <si>
    <t>Dokumentasi</t>
  </si>
  <si>
    <t>Dampak</t>
  </si>
  <si>
    <t>Tanggal</t>
  </si>
  <si>
    <t>Frekuensi</t>
  </si>
  <si>
    <t>PIC</t>
  </si>
  <si>
    <r>
      <t xml:space="preserve">Kesimpulan 
</t>
    </r>
    <r>
      <rPr>
        <b/>
        <sz val="9"/>
        <rFont val="Trebuchet MS"/>
        <family val="2"/>
      </rPr>
      <t>(Pengaruh Y/N)</t>
    </r>
  </si>
  <si>
    <t>Ya</t>
  </si>
  <si>
    <t>Manusia</t>
  </si>
  <si>
    <t>Man</t>
  </si>
  <si>
    <t>Tidak</t>
  </si>
  <si>
    <t>Mesin</t>
  </si>
  <si>
    <t>Environmnet</t>
  </si>
  <si>
    <t>b</t>
  </si>
  <si>
    <t xml:space="preserve">                                                                        </t>
  </si>
  <si>
    <t>Lingkungan</t>
  </si>
  <si>
    <t>Alat</t>
  </si>
  <si>
    <t>2b. Lengkapi dan Isi kolom PIC, Waktu Genba, Lokasi dan kolom photo untuk temuan genba yang berpengaruh</t>
  </si>
  <si>
    <t>LANGKAH 3. MENETAPKAN TARGET</t>
  </si>
  <si>
    <t>Tuliskan Target di dalam tabel di bawah ini</t>
  </si>
  <si>
    <t>Before</t>
  </si>
  <si>
    <t>After</t>
  </si>
  <si>
    <t>Kondisi Saat ini</t>
  </si>
  <si>
    <t>GRAFIK TARGET</t>
  </si>
  <si>
    <t>Nilai</t>
  </si>
  <si>
    <t>%</t>
  </si>
  <si>
    <t>Kenaikan</t>
  </si>
  <si>
    <t>Jml Naik</t>
  </si>
  <si>
    <t>Penurunan</t>
  </si>
  <si>
    <t>Jml Turun</t>
  </si>
  <si>
    <t>SMART KONSEP</t>
  </si>
  <si>
    <r>
      <rPr>
        <b/>
        <sz val="12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pesific</t>
    </r>
  </si>
  <si>
    <t xml:space="preserve">: </t>
  </si>
  <si>
    <t>--&gt; Sasaran / Target harus dinyatakan secara khusus, terfokus, tidak bias dan jelas.</t>
  </si>
  <si>
    <r>
      <rPr>
        <b/>
        <sz val="12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easurable</t>
    </r>
  </si>
  <si>
    <t>--&gt; Nilai dan satuan dari targetnya jelas</t>
  </si>
  <si>
    <r>
      <rPr>
        <b/>
        <sz val="12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ttainable </t>
    </r>
  </si>
  <si>
    <t>--&gt; Target harus dapat dicapai, menantang, meningkatkan motivasi dan semangat juang.</t>
  </si>
  <si>
    <r>
      <rPr>
        <b/>
        <sz val="12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easonable</t>
    </r>
  </si>
  <si>
    <t>--&gt; Alasannya masuk akal tetapi masih dapat menjawab tantangan di atas.</t>
  </si>
  <si>
    <r>
      <rPr>
        <b/>
        <sz val="12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ime bound</t>
    </r>
  </si>
  <si>
    <t>: Dimulai dari bulan</t>
  </si>
  <si>
    <t>s.d bulan</t>
  </si>
  <si>
    <t>Tahun</t>
  </si>
  <si>
    <t>--&gt; Waktu pencapaian harus jelas dan harus sudah ditentukan dari awal sebagai acuan keberhasilan</t>
  </si>
  <si>
    <t>LANGKAH 4. ANALISA SEBAB AKIBAT</t>
  </si>
  <si>
    <t>Faktor</t>
  </si>
  <si>
    <t>Temuan Genba</t>
  </si>
  <si>
    <t>Uji Balik akar masalah</t>
  </si>
  <si>
    <t>Apakah</t>
  </si>
  <si>
    <t>Akar masalah (tulis)</t>
  </si>
  <si>
    <t>Menyebabkan</t>
  </si>
  <si>
    <t>Tulis tulang/akar sblm akar masalah (Misal Tulang/Akar 3)</t>
  </si>
  <si>
    <t>Tulis tulang/akar sblm tulang/akar 3 (Akar 2)</t>
  </si>
  <si>
    <t>Tulis tulang/akar sblm tulang/akar 2 (Akar 1 /temuan anakonda)</t>
  </si>
  <si>
    <t>Sehingga</t>
  </si>
  <si>
    <t>Masalah Utama</t>
  </si>
  <si>
    <t>Tulis untuk masing-masing akar masalah</t>
  </si>
  <si>
    <t>MENENTUKAN PRIORITAS PERBAIKAN</t>
  </si>
  <si>
    <t>CARA 1 (MEMAKAI DATA TEMUAN ANAKONDA)</t>
  </si>
  <si>
    <t xml:space="preserve">CARA 2 </t>
  </si>
  <si>
    <t>Dengan cara voting anggota</t>
  </si>
  <si>
    <t>Misalnya</t>
  </si>
  <si>
    <t>Dalam 1 QCC ada 10 anggota maka</t>
  </si>
  <si>
    <t xml:space="preserve">Misalnya Akar masalah material dipilih 6 orang </t>
  </si>
  <si>
    <t>= 60 %</t>
  </si>
  <si>
    <t>Dan akar masalah Metode dipilih 4 orang</t>
  </si>
  <si>
    <t>= 40 %</t>
  </si>
  <si>
    <t>Sehingga akar masalah material menjadi prioritas perbaikan pertama dan tulis No 1 di akar masalahnya</t>
  </si>
  <si>
    <t>dan akar masalah Metoda menjadi akar masalah kedua dan tulis No 2 di akar masalahnya</t>
  </si>
  <si>
    <t>LANGKAH 5. RENCANA PENANGGULANGAN</t>
  </si>
  <si>
    <t>Tabel Akar Penyebab Terakhir dari Diagram Fishbone/Ishikawa</t>
  </si>
  <si>
    <t xml:space="preserve"> Penyebab Pertama</t>
  </si>
  <si>
    <t xml:space="preserve">Akar Masalah </t>
  </si>
  <si>
    <t>Abc</t>
  </si>
  <si>
    <t>G</t>
  </si>
  <si>
    <t>H</t>
  </si>
  <si>
    <t>&lt;Diisi dengan akar masalah di langkah 4&gt;</t>
  </si>
  <si>
    <t>Tabel 5W2H1T</t>
  </si>
  <si>
    <t>What</t>
  </si>
  <si>
    <t>Why</t>
  </si>
  <si>
    <t>How (Jelaskan Aktifitas Detail)</t>
  </si>
  <si>
    <t>Where</t>
  </si>
  <si>
    <t>How Much</t>
  </si>
  <si>
    <t>Target</t>
  </si>
  <si>
    <t>Solusi</t>
  </si>
  <si>
    <t>When, Who</t>
  </si>
  <si>
    <t xml:space="preserve">Where  </t>
  </si>
  <si>
    <t>When</t>
  </si>
  <si>
    <t>Who</t>
  </si>
  <si>
    <t>Note : Kolom faktor dan masalah akan terisi otomatis</t>
  </si>
  <si>
    <t>LANGKAH 6. PELAKSANAAN PENANGGULANGAN</t>
  </si>
  <si>
    <t>How</t>
  </si>
  <si>
    <r>
      <t xml:space="preserve">Sebelum Perbaikan
 </t>
    </r>
    <r>
      <rPr>
        <sz val="10"/>
        <color theme="1"/>
        <rFont val="Calibri"/>
        <family val="2"/>
        <scheme val="minor"/>
      </rPr>
      <t>(Sertakan photo*)</t>
    </r>
  </si>
  <si>
    <r>
      <t xml:space="preserve">Sesudah Perbaikan
 </t>
    </r>
    <r>
      <rPr>
        <sz val="10"/>
        <color theme="1"/>
        <rFont val="Calibri"/>
        <family val="2"/>
        <scheme val="minor"/>
      </rPr>
      <t>(Sertakan photo*)</t>
    </r>
  </si>
  <si>
    <t>Hasil</t>
  </si>
  <si>
    <t>LANGKAH 7a. EVALUASI HASIL</t>
  </si>
  <si>
    <t xml:space="preserve">Kondisi Sebelum </t>
  </si>
  <si>
    <t>Selama QCC/QCP</t>
  </si>
  <si>
    <t>Setelah QCC/QCP</t>
  </si>
  <si>
    <t>Target Awal</t>
  </si>
  <si>
    <t>Hasil vs Target</t>
  </si>
  <si>
    <t>Tuliskan Bulannya</t>
  </si>
  <si>
    <t>Tuliskan Bulannya di titik titik kolom</t>
  </si>
  <si>
    <t>Tuliskan angka/nilainya</t>
  </si>
  <si>
    <t>Tuliskan angka/nilainya di titik titik kolom</t>
  </si>
  <si>
    <r>
      <t xml:space="preserve">Jelaskan Manfaat yang didapat dari Aspek </t>
    </r>
    <r>
      <rPr>
        <b/>
        <sz val="12"/>
        <color theme="1"/>
        <rFont val="Calibri"/>
        <family val="2"/>
        <scheme val="minor"/>
      </rPr>
      <t xml:space="preserve">QCDSME </t>
    </r>
    <r>
      <rPr>
        <sz val="12"/>
        <color theme="1"/>
        <rFont val="Calibri"/>
        <family val="2"/>
        <scheme val="minor"/>
      </rPr>
      <t>jika ada</t>
    </r>
  </si>
  <si>
    <r>
      <t>Q</t>
    </r>
    <r>
      <rPr>
        <sz val="11"/>
        <color theme="1"/>
        <rFont val="Calibri"/>
        <family val="2"/>
        <scheme val="minor"/>
      </rPr>
      <t>uality</t>
    </r>
  </si>
  <si>
    <t>……………………………………………………………………………………………………………………………………………………………………………</t>
  </si>
  <si>
    <r>
      <t>C</t>
    </r>
    <r>
      <rPr>
        <sz val="11"/>
        <color theme="1"/>
        <rFont val="Calibri"/>
        <family val="2"/>
        <scheme val="minor"/>
      </rPr>
      <t>ost</t>
    </r>
  </si>
  <si>
    <r>
      <t>D</t>
    </r>
    <r>
      <rPr>
        <sz val="11"/>
        <color theme="1"/>
        <rFont val="Calibri"/>
        <family val="2"/>
        <scheme val="minor"/>
      </rPr>
      <t>elivery</t>
    </r>
  </si>
  <si>
    <r>
      <t>S</t>
    </r>
    <r>
      <rPr>
        <sz val="11"/>
        <color theme="1"/>
        <rFont val="Calibri"/>
        <family val="2"/>
        <scheme val="minor"/>
      </rPr>
      <t>afety</t>
    </r>
  </si>
  <si>
    <r>
      <t>M</t>
    </r>
    <r>
      <rPr>
        <sz val="11"/>
        <color theme="1"/>
        <rFont val="Calibri"/>
        <family val="2"/>
        <scheme val="minor"/>
      </rPr>
      <t>oral</t>
    </r>
  </si>
  <si>
    <r>
      <t>E</t>
    </r>
    <r>
      <rPr>
        <sz val="11"/>
        <color theme="1"/>
        <rFont val="Calibri"/>
        <family val="2"/>
        <scheme val="minor"/>
      </rPr>
      <t>nvironment</t>
    </r>
  </si>
  <si>
    <t>PETA KEMAMPUAN ANGGOTA SESUDAH QCC</t>
  </si>
  <si>
    <t>Sebelum</t>
  </si>
  <si>
    <t>Sesudah</t>
  </si>
  <si>
    <t>Pemahaman</t>
  </si>
  <si>
    <t>10.</t>
  </si>
  <si>
    <t>*Isi hanya kolom sesudah dan isilah dengan angka skala 0 - 100 (sesuai dengan tes yang dilakukan)</t>
  </si>
  <si>
    <t>PETA KEMAMPUAN ANGGOTA SESUDAH QCP</t>
  </si>
  <si>
    <t>Perhitungan Cost Benefit</t>
  </si>
  <si>
    <t>Benefit improvement</t>
  </si>
  <si>
    <t xml:space="preserve">Benefit dari hasil improvement </t>
  </si>
  <si>
    <t>Benefit dari dampak-dampaknya dari hasil improvement</t>
  </si>
  <si>
    <t>Misal</t>
  </si>
  <si>
    <t>Restan sebelum improvement</t>
  </si>
  <si>
    <t>kg</t>
  </si>
  <si>
    <t>Restan setelah improvement</t>
  </si>
  <si>
    <t>Harga TBS</t>
  </si>
  <si>
    <t>Rp / kg</t>
  </si>
  <si>
    <t>Rp</t>
  </si>
  <si>
    <t>Cost improvement</t>
  </si>
  <si>
    <t>Biaya pembuatan / perbaikan</t>
  </si>
  <si>
    <t>Biaya maintenance</t>
  </si>
  <si>
    <t>Ratio adalah</t>
  </si>
  <si>
    <t>Cost : (Benefit - cost ) x 100%</t>
  </si>
  <si>
    <t>1000 : (40000 - 10000_</t>
  </si>
  <si>
    <t>LANGKAH 8. STANDARISASI DAN RENCANA BERIKUTNYA</t>
  </si>
  <si>
    <t>Tabel Item Perbaikan</t>
  </si>
  <si>
    <t>Item yang diperbaiki</t>
  </si>
  <si>
    <t>Standard sebelum perbaikan</t>
  </si>
  <si>
    <t>Standard sesudah perbaikan</t>
  </si>
  <si>
    <t>Sudah ada</t>
  </si>
  <si>
    <t>Belum ada</t>
  </si>
  <si>
    <t>Diperbaiki</t>
  </si>
  <si>
    <t>Dihilangkan</t>
  </si>
  <si>
    <t>Area Penjabaran Standard Internal.</t>
  </si>
  <si>
    <t>Alas Sampel CPO di OST - KSD MILL.docx</t>
  </si>
  <si>
    <t>FORMAT IKI BISA DIDOWNLOAD PADA LINK BERIKUT</t>
  </si>
  <si>
    <t>(Lembar ini hanya digunakan untuk kertas kerja QCC untuk QCP tidak perlu di isi)</t>
  </si>
  <si>
    <t>TULISKAN LIST PROBLEM</t>
  </si>
  <si>
    <t>TABEL PENYAJIAN MASALAH YANG MEMILIKI LAPORAN PENDUKUNG</t>
  </si>
  <si>
    <t>Sumber Data Pendukung</t>
  </si>
  <si>
    <t>Nama Laporan</t>
  </si>
  <si>
    <t>Periode</t>
  </si>
  <si>
    <t>TABEL PENYAJIAN MASALAH YANG DIAMBIL MELALUI PROSES SURVEY/SAMPLING</t>
  </si>
  <si>
    <t>Total Populasi</t>
  </si>
  <si>
    <t>Jumlah sample diambil</t>
  </si>
  <si>
    <t>Satuan pengukuran</t>
  </si>
  <si>
    <t>Periode Pengukuran</t>
  </si>
  <si>
    <t>Rencana Kerja Aktivitas Perbaikan Berikutnya</t>
  </si>
  <si>
    <t>Langkah</t>
  </si>
  <si>
    <t>&lt; Nama Bulan &gt;</t>
  </si>
  <si>
    <t>Standarisasi &amp; Rencana Berikutnya</t>
  </si>
  <si>
    <t>2024-2025</t>
  </si>
  <si>
    <t>Batas</t>
  </si>
  <si>
    <t>2025-2026</t>
  </si>
  <si>
    <t>p</t>
  </si>
  <si>
    <t>SO</t>
  </si>
  <si>
    <t>Support Operational/Survey; Marketing</t>
  </si>
  <si>
    <t>Aulia</t>
  </si>
  <si>
    <t>Traceability Third Party System</t>
  </si>
  <si>
    <t>Mitra</t>
  </si>
  <si>
    <t>Marketing</t>
  </si>
  <si>
    <t>GIS Support Analyst</t>
  </si>
  <si>
    <t>Surveyor Marketing</t>
  </si>
  <si>
    <t>Mill Manager</t>
  </si>
  <si>
    <t>Bambang</t>
  </si>
  <si>
    <t xml:space="preserve">Anugrah Sandi </t>
  </si>
  <si>
    <t>CSR Site</t>
  </si>
  <si>
    <t>Site Mill</t>
  </si>
  <si>
    <t>Anugrah Sandi</t>
  </si>
  <si>
    <t>Survey HO</t>
  </si>
  <si>
    <t>Yanuar A.B</t>
  </si>
  <si>
    <t>Third Party Squad</t>
  </si>
  <si>
    <t>Mitha</t>
  </si>
  <si>
    <t>Riko Irvansyah</t>
  </si>
  <si>
    <t>Yusuf</t>
  </si>
  <si>
    <t>GIS Support Analis HO</t>
  </si>
  <si>
    <t>GIS Kaltim 2</t>
  </si>
  <si>
    <t>Krani Marketing</t>
  </si>
  <si>
    <t>Staff Marketing</t>
  </si>
  <si>
    <t>Askep Marketing</t>
  </si>
  <si>
    <t>Alasan Pemilihan Thema (pilih salah satu atau 2) :</t>
  </si>
  <si>
    <t>GIS Analyst HO</t>
  </si>
  <si>
    <t>Traceability Surveyor</t>
  </si>
  <si>
    <t>Head Dept. GIS HO</t>
  </si>
  <si>
    <t>00001802</t>
  </si>
  <si>
    <t>00004236</t>
  </si>
  <si>
    <t>00003055</t>
  </si>
  <si>
    <t>00001157</t>
  </si>
  <si>
    <t>Rohmad Fajar Hidayatullah</t>
  </si>
  <si>
    <t>00003861</t>
  </si>
  <si>
    <t>64/6441/0123/121</t>
  </si>
  <si>
    <t>Survey HO &amp; Marketing</t>
  </si>
  <si>
    <t>00000534</t>
  </si>
  <si>
    <r>
      <t>Belum adanya data (kalaupun ada belum lengkap) tentang ketertelusuran (</t>
    </r>
    <r>
      <rPr>
        <i/>
        <sz val="10"/>
        <color theme="1"/>
        <rFont val="Calibri"/>
        <family val="2"/>
        <scheme val="minor"/>
      </rPr>
      <t>traceability</t>
    </r>
    <r>
      <rPr>
        <sz val="10"/>
        <color theme="1"/>
        <rFont val="Calibri"/>
        <family val="2"/>
        <scheme val="minor"/>
      </rPr>
      <t>) data petani penyuplai TBS ke Mill TAPG</t>
    </r>
  </si>
  <si>
    <t>00002073</t>
  </si>
  <si>
    <t>TABEL PERBANDINGAN Pencapaian pengukuran lahan petani pemasok TBS ke Mill</t>
  </si>
  <si>
    <t>NPN</t>
  </si>
  <si>
    <t>AAPA &amp; YWA</t>
  </si>
  <si>
    <t>SLE</t>
  </si>
  <si>
    <t>September</t>
  </si>
  <si>
    <t>Oktober</t>
  </si>
  <si>
    <t>Jumlah</t>
  </si>
  <si>
    <t>Achievment pengukuran lahan petani pemasok TBS s/d bulan Oktober 2025 rendah (49,36%)</t>
  </si>
  <si>
    <t>100 (1100 Ha)</t>
  </si>
  <si>
    <t>100 (10213 Ha)</t>
  </si>
  <si>
    <t>Tidak semua petani mau diukur lahannya</t>
  </si>
  <si>
    <t>Sulit menjumpai pemilik lahan</t>
  </si>
  <si>
    <t>Sulit mendapatkan legalitas lahan petani &amp; identitas pemiliknya</t>
  </si>
  <si>
    <t>Semua petani penyuplai TBS ke Mill TAPG harus sudah di trace</t>
  </si>
  <si>
    <t>Semua pemilik lahan harus sudah memahai pentingnya Traceability ini</t>
  </si>
  <si>
    <t>Semua petani penyuplai TBS ke Mill TAPG harus jelas identitas &amp; legalitas lahannya</t>
  </si>
  <si>
    <t>Sangat berpengaruh</t>
  </si>
  <si>
    <t>Tidak berpengaruh</t>
  </si>
  <si>
    <t>Beberapa</t>
  </si>
  <si>
    <t>Banyak</t>
  </si>
  <si>
    <t>Jadwal jumpa dengan petani rata-rata 2-3 x kunjungan</t>
  </si>
  <si>
    <t>Sekali jumpa langsung mau ukur lahan</t>
  </si>
  <si>
    <t>TBS yang dikirimkan petani harus sesuai standart yang kita buat</t>
  </si>
  <si>
    <t>Beberapa petani menanam Sawit dari bibit tidak resmi</t>
  </si>
  <si>
    <t>Dari mulai penanaman seharusnya sudah sesuai dengan SOP kita, termasuk pemilihan bibit yang akan ditanam</t>
  </si>
  <si>
    <t>Berpengaruh</t>
  </si>
  <si>
    <t>Berpengaruh ke OER</t>
  </si>
  <si>
    <t>Sedang</t>
  </si>
  <si>
    <t>Masih ada petani yang mengirimkan TBS dalam kondisi tidak standar (mentah, jangkos, busuk, lewat matang, buah kecil, parthenocarpic, kempet)</t>
  </si>
  <si>
    <t>Bisa mengimbangi harga kompetitor</t>
  </si>
  <si>
    <t>Harga dari kompetitor yang selalu lebih tinggi</t>
  </si>
  <si>
    <t>Sering</t>
  </si>
  <si>
    <t>PKS Kompetitor semakin banyak</t>
  </si>
  <si>
    <t>Proses bongkar TBS saat grading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</si>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</sst>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&quot;RENCANA KEGIATAN CIRCLE&quot;\ 0"/>
    <numFmt numFmtId="168" formatCode="0.0%"/>
    <numFmt numFmtId="169" formatCode="0.00;[Red]0.00"/>
    <numFmt numFmtId="170" formatCode="&quot;R&quot;0"/>
  </numFmts>
  <fonts count="5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sz val="10"/>
      <name val="Trebuchet MS"/>
      <family val="2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9"/>
      <name val="Trebuchet MS"/>
      <family val="2"/>
    </font>
    <font>
      <sz val="10.5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name val="Trebuchet MS"/>
      <family val="2"/>
    </font>
    <font>
      <sz val="8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0.5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b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0" tint="-0.249977111117893"/>
      <name val="Calibri"/>
      <family val="2"/>
    </font>
    <font>
      <u/>
      <sz val="11"/>
      <color theme="10"/>
      <name val="Calibri"/>
      <family val="2"/>
      <scheme val="minor"/>
    </font>
    <font>
      <sz val="7"/>
      <color theme="0" tint="-0.14999847407452621"/>
      <name val="Calibri"/>
      <family val="2"/>
      <scheme val="minor"/>
    </font>
    <font>
      <sz val="5"/>
      <color theme="0" tint="-0.14999847407452621"/>
      <name val="Calibri"/>
      <family val="2"/>
      <scheme val="minor"/>
    </font>
    <font>
      <sz val="10"/>
      <color theme="0"/>
      <name val="Trebuchet MS"/>
      <family val="2"/>
    </font>
    <font>
      <b/>
      <sz val="10"/>
      <name val="Trebuchet MS"/>
      <family val="2"/>
    </font>
    <font>
      <b/>
      <sz val="9"/>
      <name val="Trebuchet MS"/>
      <family val="2"/>
    </font>
    <font>
      <sz val="6"/>
      <color theme="0"/>
      <name val="Calibri"/>
      <family val="2"/>
      <scheme val="minor"/>
    </font>
    <font>
      <sz val="6"/>
      <color theme="0"/>
      <name val="Trebuchet MS"/>
      <family val="2"/>
    </font>
    <font>
      <i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FF0000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FF0000"/>
      <name val="Trebuchet MS"/>
      <family val="2"/>
    </font>
    <font>
      <i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7.5"/>
      <color rgb="FFFF0000"/>
      <name val="Arial"/>
      <family val="2"/>
    </font>
    <font>
      <b/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FF000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 style="double">
        <color auto="1"/>
      </bottom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dotted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uble">
        <color auto="1"/>
      </right>
      <top style="dotted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</borders>
  <cellStyleXfs count="6">
    <xf numFmtId="0" fontId="0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0" fillId="0" borderId="0"/>
    <xf numFmtId="0" fontId="14" fillId="0" borderId="0"/>
    <xf numFmtId="0" fontId="38" fillId="0" borderId="0" applyNumberFormat="0" applyFill="0" applyBorder="0" applyAlignment="0" applyProtection="0"/>
  </cellStyleXfs>
  <cellXfs count="598">
    <xf numFmtId="0" fontId="0" fillId="0" borderId="0" xfId="0"/>
    <xf numFmtId="0" fontId="11" fillId="0" borderId="0" xfId="0" applyFont="1"/>
    <xf numFmtId="0" fontId="0" fillId="0" borderId="0" xfId="0" quotePrefix="1"/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0" xfId="0" applyFont="1"/>
    <xf numFmtId="0" fontId="13" fillId="0" borderId="0" xfId="0" applyFont="1"/>
    <xf numFmtId="0" fontId="8" fillId="0" borderId="0" xfId="0" applyFont="1"/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2" fillId="0" borderId="0" xfId="0" applyFont="1"/>
    <xf numFmtId="0" fontId="16" fillId="0" borderId="24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168" fontId="11" fillId="0" borderId="0" xfId="2" applyNumberFormat="1" applyFont="1"/>
    <xf numFmtId="0" fontId="25" fillId="0" borderId="0" xfId="0" applyFont="1"/>
    <xf numFmtId="0" fontId="16" fillId="0" borderId="1" xfId="0" applyFont="1" applyBorder="1" applyAlignment="1">
      <alignment horizontal="center" vertical="center" wrapText="1"/>
    </xf>
    <xf numFmtId="0" fontId="12" fillId="0" borderId="0" xfId="0" applyFont="1" applyAlignment="1">
      <alignment horizontal="right"/>
    </xf>
    <xf numFmtId="0" fontId="29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0" fontId="12" fillId="0" borderId="0" xfId="2" applyNumberFormat="1" applyFont="1" applyBorder="1" applyAlignment="1">
      <alignment horizontal="center"/>
    </xf>
    <xf numFmtId="0" fontId="0" fillId="0" borderId="30" xfId="0" applyBorder="1"/>
    <xf numFmtId="0" fontId="12" fillId="0" borderId="2" xfId="0" applyFont="1" applyBorder="1"/>
    <xf numFmtId="0" fontId="1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11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10" fontId="12" fillId="0" borderId="1" xfId="2" applyNumberFormat="1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vertical="center"/>
    </xf>
    <xf numFmtId="0" fontId="37" fillId="0" borderId="0" xfId="0" applyFont="1" applyAlignment="1">
      <alignment horizontal="center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8" fillId="0" borderId="14" xfId="0" applyFont="1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7" xfId="0" applyBorder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35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25" xfId="0" quotePrefix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  <xf numFmtId="0" fontId="0" fillId="4" borderId="1" xfId="0" applyFill="1" applyBorder="1" applyAlignment="1" applyProtection="1">
      <alignment vertical="center"/>
      <protection hidden="1"/>
    </xf>
    <xf numFmtId="166" fontId="0" fillId="4" borderId="1" xfId="0" applyNumberFormat="1" applyFill="1" applyBorder="1" applyAlignment="1" applyProtection="1">
      <alignment horizontal="center" vertical="center"/>
      <protection hidden="1"/>
    </xf>
    <xf numFmtId="0" fontId="0" fillId="0" borderId="14" xfId="0" applyBorder="1" applyProtection="1">
      <protection locked="0"/>
    </xf>
    <xf numFmtId="167" fontId="8" fillId="0" borderId="15" xfId="0" applyNumberFormat="1" applyFont="1" applyBorder="1" applyAlignment="1" applyProtection="1">
      <alignment vertical="center"/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4" borderId="0" xfId="0" applyFill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0" fontId="24" fillId="5" borderId="5" xfId="0" applyFont="1" applyFill="1" applyBorder="1" applyAlignment="1" applyProtection="1">
      <alignment horizontal="center" vertical="center"/>
      <protection locked="0"/>
    </xf>
    <xf numFmtId="0" fontId="24" fillId="5" borderId="25" xfId="0" applyFont="1" applyFill="1" applyBorder="1" applyAlignment="1" applyProtection="1">
      <alignment horizontal="center" vertical="center"/>
      <protection locked="0"/>
    </xf>
    <xf numFmtId="0" fontId="24" fillId="5" borderId="27" xfId="0" applyFont="1" applyFill="1" applyBorder="1" applyAlignment="1" applyProtection="1">
      <alignment horizontal="center" vertical="center"/>
      <protection locked="0"/>
    </xf>
    <xf numFmtId="0" fontId="24" fillId="5" borderId="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2" fillId="0" borderId="1" xfId="0" quotePrefix="1" applyFont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22" xfId="0" applyBorder="1" applyProtection="1">
      <protection locked="0"/>
    </xf>
    <xf numFmtId="0" fontId="0" fillId="0" borderId="1" xfId="0" applyBorder="1" applyProtection="1">
      <protection locked="0"/>
    </xf>
    <xf numFmtId="0" fontId="2" fillId="0" borderId="5" xfId="0" quotePrefix="1" applyFont="1" applyBorder="1" applyAlignment="1" applyProtection="1">
      <alignment horizontal="center"/>
      <protection locked="0"/>
    </xf>
    <xf numFmtId="0" fontId="2" fillId="0" borderId="25" xfId="0" quotePrefix="1" applyFont="1" applyBorder="1" applyAlignment="1" applyProtection="1">
      <alignment horizontal="center"/>
      <protection locked="0"/>
    </xf>
    <xf numFmtId="0" fontId="2" fillId="0" borderId="27" xfId="0" quotePrefix="1" applyFont="1" applyBorder="1" applyAlignment="1" applyProtection="1">
      <alignment horizontal="center"/>
      <protection locked="0"/>
    </xf>
    <xf numFmtId="0" fontId="2" fillId="0" borderId="7" xfId="0" quotePrefix="1" applyFont="1" applyBorder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24" xfId="0" applyBorder="1" applyProtection="1">
      <protection locked="0"/>
    </xf>
    <xf numFmtId="0" fontId="0" fillId="0" borderId="24" xfId="0" applyBorder="1" applyAlignment="1" applyProtection="1">
      <alignment horizontal="center"/>
      <protection locked="0"/>
    </xf>
    <xf numFmtId="0" fontId="31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Alignment="1" applyProtection="1">
      <alignment horizontal="right"/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0" fillId="6" borderId="23" xfId="0" applyFill="1" applyBorder="1" applyAlignment="1" applyProtection="1">
      <alignment horizontal="center" vertical="center"/>
      <protection hidden="1"/>
    </xf>
    <xf numFmtId="0" fontId="0" fillId="6" borderId="4" xfId="0" applyFill="1" applyBorder="1" applyAlignment="1" applyProtection="1">
      <alignment horizontal="left" vertical="center"/>
      <protection hidden="1"/>
    </xf>
    <xf numFmtId="0" fontId="0" fillId="6" borderId="1" xfId="0" applyFill="1" applyBorder="1" applyProtection="1">
      <protection hidden="1"/>
    </xf>
    <xf numFmtId="0" fontId="2" fillId="0" borderId="1" xfId="0" quotePrefix="1" applyFont="1" applyBorder="1" applyAlignment="1" applyProtection="1">
      <alignment horizontal="center"/>
      <protection hidden="1"/>
    </xf>
    <xf numFmtId="0" fontId="5" fillId="6" borderId="1" xfId="0" applyFont="1" applyFill="1" applyBorder="1" applyAlignment="1" applyProtection="1">
      <alignment horizontal="left" vertical="center"/>
      <protection hidden="1"/>
    </xf>
    <xf numFmtId="0" fontId="5" fillId="6" borderId="27" xfId="0" applyFont="1" applyFill="1" applyBorder="1" applyAlignment="1" applyProtection="1">
      <alignment horizontal="left" vertical="center"/>
      <protection hidden="1"/>
    </xf>
    <xf numFmtId="0" fontId="5" fillId="6" borderId="7" xfId="0" applyFont="1" applyFill="1" applyBorder="1" applyAlignment="1" applyProtection="1">
      <alignment horizontal="left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5" fillId="6" borderId="25" xfId="0" applyFont="1" applyFill="1" applyBorder="1" applyAlignment="1" applyProtection="1">
      <alignment horizontal="left" vertical="center"/>
      <protection hidden="1"/>
    </xf>
    <xf numFmtId="0" fontId="0" fillId="6" borderId="4" xfId="0" applyFill="1" applyBorder="1" applyAlignment="1" applyProtection="1">
      <alignment horizontal="center" vertical="center"/>
      <protection hidden="1"/>
    </xf>
    <xf numFmtId="167" fontId="22" fillId="4" borderId="0" xfId="0" applyNumberFormat="1" applyFont="1" applyFill="1" applyAlignment="1" applyProtection="1">
      <alignment vertical="center"/>
      <protection hidden="1"/>
    </xf>
    <xf numFmtId="0" fontId="35" fillId="2" borderId="5" xfId="0" applyFont="1" applyFill="1" applyBorder="1" applyAlignment="1" applyProtection="1">
      <alignment horizontal="center" vertical="center" wrapText="1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9" fillId="0" borderId="0" xfId="0" applyFont="1" applyProtection="1">
      <protection locked="0"/>
    </xf>
    <xf numFmtId="2" fontId="0" fillId="0" borderId="0" xfId="0" applyNumberFormat="1" applyProtection="1">
      <protection locked="0"/>
    </xf>
    <xf numFmtId="10" fontId="0" fillId="0" borderId="0" xfId="2" applyNumberFormat="1" applyFont="1" applyFill="1" applyBorder="1" applyProtection="1">
      <protection locked="0"/>
    </xf>
    <xf numFmtId="0" fontId="9" fillId="0" borderId="0" xfId="0" applyFont="1" applyAlignment="1" applyProtection="1">
      <alignment vertical="top"/>
      <protection locked="0"/>
    </xf>
    <xf numFmtId="0" fontId="18" fillId="0" borderId="0" xfId="0" applyFont="1" applyAlignment="1" applyProtection="1">
      <alignment vertical="top"/>
      <protection locked="0"/>
    </xf>
    <xf numFmtId="0" fontId="5" fillId="0" borderId="0" xfId="0" applyFont="1" applyAlignment="1" applyProtection="1">
      <alignment vertical="top" wrapText="1"/>
      <protection locked="0"/>
    </xf>
    <xf numFmtId="0" fontId="0" fillId="0" borderId="0" xfId="0" quotePrefix="1" applyAlignment="1" applyProtection="1">
      <alignment vertical="top"/>
      <protection locked="0"/>
    </xf>
    <xf numFmtId="9" fontId="0" fillId="4" borderId="1" xfId="2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/>
      <protection hidden="1"/>
    </xf>
    <xf numFmtId="9" fontId="0" fillId="0" borderId="0" xfId="2" applyFont="1" applyBorder="1" applyProtection="1">
      <protection locked="0"/>
    </xf>
    <xf numFmtId="0" fontId="0" fillId="4" borderId="1" xfId="0" applyFill="1" applyBorder="1" applyAlignment="1" applyProtection="1">
      <alignment horizontal="center" vertical="center"/>
      <protection hidden="1"/>
    </xf>
    <xf numFmtId="0" fontId="15" fillId="0" borderId="0" xfId="0" applyFo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10" fontId="0" fillId="0" borderId="0" xfId="0" applyNumberFormat="1" applyProtection="1">
      <protection locked="0"/>
    </xf>
    <xf numFmtId="10" fontId="0" fillId="0" borderId="0" xfId="2" applyNumberFormat="1" applyFont="1" applyBorder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1" applyNumberFormat="1" applyFont="1" applyBorder="1" applyProtection="1">
      <protection locked="0"/>
    </xf>
    <xf numFmtId="165" fontId="0" fillId="0" borderId="0" xfId="1" applyNumberFormat="1" applyFont="1" applyFill="1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1" xfId="0" applyBorder="1" applyProtection="1">
      <protection locked="0"/>
    </xf>
    <xf numFmtId="0" fontId="19" fillId="0" borderId="0" xfId="0" quotePrefix="1" applyFont="1" applyProtection="1">
      <protection locked="0"/>
    </xf>
    <xf numFmtId="0" fontId="27" fillId="0" borderId="4" xfId="0" quotePrefix="1" applyFont="1" applyBorder="1" applyAlignment="1" applyProtection="1">
      <alignment horizontal="left" vertical="center"/>
      <protection locked="0"/>
    </xf>
    <xf numFmtId="0" fontId="27" fillId="0" borderId="4" xfId="0" quotePrefix="1" applyFont="1" applyBorder="1" applyAlignment="1" applyProtection="1">
      <alignment vertical="center"/>
      <protection locked="0"/>
    </xf>
    <xf numFmtId="0" fontId="0" fillId="0" borderId="11" xfId="0" applyBorder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1" fontId="5" fillId="7" borderId="0" xfId="0" quotePrefix="1" applyNumberFormat="1" applyFont="1" applyFill="1" applyAlignment="1" applyProtection="1">
      <alignment horizontal="right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11" xfId="0" applyFont="1" applyBorder="1" applyAlignment="1" applyProtection="1">
      <alignment horizontal="left" vertical="center"/>
      <protection locked="0"/>
    </xf>
    <xf numFmtId="0" fontId="0" fillId="0" borderId="12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3" xfId="0" applyBorder="1" applyProtection="1">
      <protection locked="0"/>
    </xf>
    <xf numFmtId="168" fontId="0" fillId="4" borderId="1" xfId="2" applyNumberFormat="1" applyFont="1" applyFill="1" applyBorder="1" applyAlignment="1" applyProtection="1">
      <alignment horizontal="center" vertical="center"/>
      <protection hidden="1"/>
    </xf>
    <xf numFmtId="0" fontId="26" fillId="0" borderId="0" xfId="0" applyFont="1" applyProtection="1">
      <protection hidden="1"/>
    </xf>
    <xf numFmtId="0" fontId="0" fillId="0" borderId="5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8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17" fontId="17" fillId="0" borderId="22" xfId="0" applyNumberFormat="1" applyFont="1" applyBorder="1" applyAlignment="1" applyProtection="1">
      <alignment horizontal="center"/>
      <protection locked="0"/>
    </xf>
    <xf numFmtId="0" fontId="28" fillId="0" borderId="12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28" fillId="0" borderId="24" xfId="0" applyFont="1" applyBorder="1" applyAlignment="1" applyProtection="1">
      <alignment horizontal="center" vertical="center"/>
      <protection locked="0"/>
    </xf>
    <xf numFmtId="0" fontId="9" fillId="0" borderId="4" xfId="0" applyFont="1" applyBorder="1" applyProtection="1">
      <protection locked="0"/>
    </xf>
    <xf numFmtId="0" fontId="27" fillId="0" borderId="4" xfId="0" quotePrefix="1" applyFont="1" applyBorder="1" applyAlignment="1" applyProtection="1">
      <alignment horizontal="left"/>
      <protection locked="0"/>
    </xf>
    <xf numFmtId="0" fontId="23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quotePrefix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/>
      <protection locked="0"/>
    </xf>
    <xf numFmtId="1" fontId="0" fillId="4" borderId="1" xfId="0" applyNumberForma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2" xfId="0" applyBorder="1" applyAlignment="1" applyProtection="1">
      <alignment vertical="center"/>
      <protection locked="0"/>
    </xf>
    <xf numFmtId="0" fontId="0" fillId="0" borderId="0" xfId="0" quotePrefix="1" applyAlignment="1" applyProtection="1">
      <alignment vertical="center"/>
      <protection locked="0"/>
    </xf>
    <xf numFmtId="0" fontId="2" fillId="0" borderId="0" xfId="0" quotePrefix="1" applyFont="1" applyAlignment="1" applyProtection="1">
      <alignment horizontal="right" vertic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0" fillId="0" borderId="3" xfId="0" applyFont="1" applyBorder="1" applyAlignment="1" applyProtection="1">
      <alignment vertical="center"/>
      <protection locked="0"/>
    </xf>
    <xf numFmtId="0" fontId="30" fillId="0" borderId="0" xfId="0" applyFont="1" applyAlignment="1" applyProtection="1">
      <alignment vertical="center"/>
      <protection locked="0"/>
    </xf>
    <xf numFmtId="0" fontId="0" fillId="0" borderId="29" xfId="0" applyBorder="1" applyProtection="1">
      <protection locked="0"/>
    </xf>
    <xf numFmtId="0" fontId="0" fillId="0" borderId="28" xfId="0" applyBorder="1" applyProtection="1">
      <protection locked="0"/>
    </xf>
    <xf numFmtId="0" fontId="38" fillId="0" borderId="0" xfId="5"/>
    <xf numFmtId="0" fontId="28" fillId="0" borderId="0" xfId="0" applyFont="1" applyAlignment="1" applyProtection="1">
      <alignment horizontal="center" vertical="center"/>
      <protection locked="0"/>
    </xf>
    <xf numFmtId="0" fontId="5" fillId="4" borderId="1" xfId="0" applyFont="1" applyFill="1" applyBorder="1" applyAlignment="1" applyProtection="1">
      <alignment horizontal="center" vertical="center"/>
      <protection locked="0"/>
    </xf>
    <xf numFmtId="17" fontId="17" fillId="0" borderId="1" xfId="0" applyNumberFormat="1" applyFont="1" applyBorder="1" applyAlignment="1" applyProtection="1">
      <alignment horizontal="center"/>
      <protection locked="0"/>
    </xf>
    <xf numFmtId="0" fontId="39" fillId="0" borderId="12" xfId="0" applyFont="1" applyBorder="1" applyAlignment="1" applyProtection="1">
      <alignment horizontal="center" vertical="center"/>
      <protection locked="0"/>
    </xf>
    <xf numFmtId="0" fontId="4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11" fillId="4" borderId="0" xfId="0" applyFont="1" applyFill="1" applyProtection="1">
      <protection locked="0"/>
    </xf>
    <xf numFmtId="0" fontId="26" fillId="0" borderId="0" xfId="0" applyFont="1" applyAlignment="1" applyProtection="1">
      <alignment wrapText="1"/>
      <protection locked="0"/>
    </xf>
    <xf numFmtId="0" fontId="36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 wrapText="1"/>
      <protection locked="0"/>
    </xf>
    <xf numFmtId="0" fontId="42" fillId="9" borderId="1" xfId="0" applyFont="1" applyFill="1" applyBorder="1" applyAlignment="1" applyProtection="1">
      <alignment horizontal="center" vertical="center" wrapText="1"/>
      <protection locked="0"/>
    </xf>
    <xf numFmtId="0" fontId="42" fillId="9" borderId="1" xfId="0" applyFont="1" applyFill="1" applyBorder="1" applyAlignment="1" applyProtection="1">
      <alignment horizontal="center" vertical="center"/>
      <protection locked="0"/>
    </xf>
    <xf numFmtId="0" fontId="42" fillId="9" borderId="5" xfId="0" applyFont="1" applyFill="1" applyBorder="1" applyAlignment="1" applyProtection="1">
      <alignment horizontal="center" vertical="center"/>
      <protection locked="0"/>
    </xf>
    <xf numFmtId="0" fontId="41" fillId="0" borderId="0" xfId="0" applyFont="1" applyProtection="1">
      <protection hidden="1"/>
    </xf>
    <xf numFmtId="0" fontId="11" fillId="0" borderId="0" xfId="0" applyFont="1" applyProtection="1">
      <protection hidden="1"/>
    </xf>
    <xf numFmtId="0" fontId="0" fillId="0" borderId="1" xfId="0" applyBorder="1" applyProtection="1">
      <protection hidden="1"/>
    </xf>
    <xf numFmtId="0" fontId="0" fillId="0" borderId="0" xfId="0" pivotButton="1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1" fontId="5" fillId="4" borderId="0" xfId="0" quotePrefix="1" applyNumberFormat="1" applyFont="1" applyFill="1" applyAlignment="1" applyProtection="1">
      <alignment horizontal="right"/>
      <protection locked="0"/>
    </xf>
    <xf numFmtId="0" fontId="5" fillId="4" borderId="0" xfId="0" applyFont="1" applyFill="1" applyProtection="1">
      <protection locked="0"/>
    </xf>
    <xf numFmtId="0" fontId="26" fillId="0" borderId="0" xfId="0" applyFont="1" applyProtection="1">
      <protection locked="0"/>
    </xf>
    <xf numFmtId="10" fontId="47" fillId="0" borderId="0" xfId="0" applyNumberFormat="1" applyFont="1" applyProtection="1">
      <protection locked="0"/>
    </xf>
    <xf numFmtId="10" fontId="26" fillId="0" borderId="0" xfId="0" applyNumberFormat="1" applyFont="1" applyProtection="1">
      <protection locked="0"/>
    </xf>
    <xf numFmtId="9" fontId="0" fillId="0" borderId="0" xfId="1" applyNumberFormat="1" applyFont="1" applyBorder="1" applyProtection="1">
      <protection locked="0"/>
    </xf>
    <xf numFmtId="164" fontId="0" fillId="0" borderId="0" xfId="1" applyFont="1" applyBorder="1" applyProtection="1">
      <protection locked="0"/>
    </xf>
    <xf numFmtId="0" fontId="9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vertical="top" wrapText="1"/>
      <protection locked="0"/>
    </xf>
    <xf numFmtId="2" fontId="0" fillId="4" borderId="22" xfId="0" applyNumberFormat="1" applyFill="1" applyBorder="1" applyAlignment="1" applyProtection="1">
      <alignment horizontal="center" vertical="center"/>
      <protection hidden="1"/>
    </xf>
    <xf numFmtId="0" fontId="17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2" fontId="31" fillId="0" borderId="0" xfId="0" applyNumberFormat="1" applyFont="1" applyProtection="1">
      <protection locked="0"/>
    </xf>
    <xf numFmtId="169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170" fontId="26" fillId="0" borderId="0" xfId="0" applyNumberFormat="1" applyFont="1" applyAlignment="1" applyProtection="1">
      <alignment horizontal="left" vertical="center"/>
      <protection locked="0"/>
    </xf>
    <xf numFmtId="1" fontId="26" fillId="0" borderId="0" xfId="0" applyNumberFormat="1" applyFont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hidden="1"/>
    </xf>
    <xf numFmtId="0" fontId="48" fillId="0" borderId="1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49" fillId="0" borderId="7" xfId="0" applyFont="1" applyBorder="1" applyAlignment="1" applyProtection="1">
      <alignment horizontal="center" vertical="center" wrapText="1"/>
      <protection locked="0"/>
    </xf>
    <xf numFmtId="169" fontId="0" fillId="2" borderId="1" xfId="0" applyNumberFormat="1" applyFill="1" applyBorder="1" applyAlignment="1" applyProtection="1">
      <alignment horizontal="center" vertical="center"/>
      <protection hidden="1"/>
    </xf>
    <xf numFmtId="0" fontId="11" fillId="0" borderId="5" xfId="0" applyFont="1" applyBorder="1" applyAlignment="1" applyProtection="1">
      <alignment horizontal="center" vertical="center"/>
      <protection locked="0"/>
    </xf>
    <xf numFmtId="0" fontId="11" fillId="0" borderId="5" xfId="0" applyFont="1" applyBorder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2" fontId="0" fillId="8" borderId="31" xfId="0" applyNumberFormat="1" applyFill="1" applyBorder="1" applyAlignment="1" applyProtection="1">
      <alignment horizontal="center" vertical="center"/>
      <protection locked="0"/>
    </xf>
    <xf numFmtId="0" fontId="5" fillId="8" borderId="7" xfId="0" applyFont="1" applyFill="1" applyBorder="1" applyAlignment="1" applyProtection="1">
      <alignment horizontal="center" vertical="center" wrapText="1"/>
      <protection locked="0"/>
    </xf>
    <xf numFmtId="2" fontId="26" fillId="0" borderId="0" xfId="1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left" vertical="center" wrapTex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/>
      <protection hidden="1"/>
    </xf>
    <xf numFmtId="166" fontId="0" fillId="0" borderId="1" xfId="0" applyNumberFormat="1" applyBorder="1" applyAlignment="1" applyProtection="1">
      <alignment horizontal="center" vertical="center"/>
      <protection hidden="1"/>
    </xf>
    <xf numFmtId="0" fontId="52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/>
      <protection locked="0"/>
    </xf>
    <xf numFmtId="0" fontId="21" fillId="0" borderId="1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36" xfId="0" applyBorder="1" applyAlignment="1" applyProtection="1">
      <alignment vertical="center"/>
      <protection locked="0"/>
    </xf>
    <xf numFmtId="0" fontId="0" fillId="0" borderId="37" xfId="0" applyBorder="1" applyAlignment="1" applyProtection="1">
      <alignment vertical="center"/>
      <protection locked="0"/>
    </xf>
    <xf numFmtId="10" fontId="0" fillId="0" borderId="0" xfId="2" applyNumberFormat="1" applyFont="1" applyFill="1" applyBorder="1" applyAlignment="1" applyProtection="1">
      <protection locked="0"/>
    </xf>
    <xf numFmtId="0" fontId="2" fillId="0" borderId="22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hidden="1"/>
    </xf>
    <xf numFmtId="166" fontId="7" fillId="0" borderId="24" xfId="0" applyNumberFormat="1" applyFont="1" applyBorder="1" applyAlignment="1" applyProtection="1">
      <alignment horizontal="center" vertical="center"/>
      <protection hidden="1"/>
    </xf>
    <xf numFmtId="2" fontId="0" fillId="0" borderId="22" xfId="0" applyNumberFormat="1" applyBorder="1" applyAlignment="1" applyProtection="1">
      <alignment horizontal="center" vertical="center"/>
      <protection hidden="1"/>
    </xf>
    <xf numFmtId="9" fontId="0" fillId="0" borderId="0" xfId="2" applyFont="1"/>
    <xf numFmtId="164" fontId="0" fillId="0" borderId="0" xfId="1" applyFont="1"/>
    <xf numFmtId="9" fontId="0" fillId="0" borderId="0" xfId="0" applyNumberFormat="1"/>
    <xf numFmtId="14" fontId="0" fillId="0" borderId="3" xfId="0" applyNumberFormat="1" applyBorder="1" applyAlignment="1" applyProtection="1">
      <alignment vertical="center"/>
      <protection locked="0"/>
    </xf>
    <xf numFmtId="0" fontId="11" fillId="0" borderId="5" xfId="0" applyFont="1" applyBorder="1" applyAlignment="1" applyProtection="1">
      <alignment vertical="center" wrapText="1"/>
      <protection locked="0"/>
    </xf>
    <xf numFmtId="0" fontId="54" fillId="0" borderId="0" xfId="0" applyFont="1" applyProtection="1">
      <protection locked="0"/>
    </xf>
    <xf numFmtId="0" fontId="54" fillId="4" borderId="0" xfId="0" applyFont="1" applyFill="1" applyProtection="1">
      <protection locked="0"/>
    </xf>
    <xf numFmtId="0" fontId="54" fillId="0" borderId="0" xfId="0" applyFont="1" applyProtection="1">
      <protection hidden="1"/>
    </xf>
    <xf numFmtId="0" fontId="54" fillId="0" borderId="0" xfId="0" applyFont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9" fontId="26" fillId="0" borderId="0" xfId="2" applyFont="1" applyBorder="1" applyProtection="1">
      <protection locked="0"/>
    </xf>
    <xf numFmtId="9" fontId="26" fillId="0" borderId="0" xfId="1" applyNumberFormat="1" applyFont="1" applyBorder="1" applyProtection="1">
      <protection locked="0"/>
    </xf>
    <xf numFmtId="2" fontId="0" fillId="10" borderId="0" xfId="0" applyNumberFormat="1" applyFill="1" applyAlignment="1">
      <alignment horizontal="center"/>
    </xf>
    <xf numFmtId="0" fontId="41" fillId="0" borderId="0" xfId="0" applyFont="1"/>
    <xf numFmtId="0" fontId="11" fillId="4" borderId="1" xfId="0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11" fillId="4" borderId="1" xfId="0" applyFont="1" applyFill="1" applyBorder="1" applyAlignment="1" applyProtection="1">
      <alignment horizontal="left" vertical="center" wrapText="1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Border="1" applyAlignment="1" applyProtection="1">
      <alignment horizontal="left" vertical="top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169" fontId="0" fillId="2" borderId="1" xfId="0" applyNumberFormat="1" applyFill="1" applyBorder="1" applyAlignment="1" applyProtection="1">
      <alignment horizontal="right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locked="0"/>
    </xf>
    <xf numFmtId="166" fontId="7" fillId="0" borderId="1" xfId="0" applyNumberFormat="1" applyFont="1" applyBorder="1" applyAlignment="1" applyProtection="1">
      <alignment horizontal="center" vertical="center" wrapText="1"/>
      <protection locked="0"/>
    </xf>
    <xf numFmtId="0" fontId="2" fillId="0" borderId="1" xfId="0" quotePrefix="1" applyFont="1" applyBorder="1" applyAlignment="1" applyProtection="1">
      <alignment horizontal="center"/>
      <protection locked="0" hidden="1"/>
    </xf>
    <xf numFmtId="0" fontId="11" fillId="0" borderId="5" xfId="0" applyFont="1" applyBorder="1" applyAlignment="1" applyProtection="1">
      <alignment horizontal="left" wrapText="1"/>
      <protection locked="0"/>
    </xf>
    <xf numFmtId="0" fontId="11" fillId="0" borderId="5" xfId="0" applyFont="1" applyBorder="1" applyAlignment="1" applyProtection="1">
      <alignment horizontal="left"/>
      <protection locked="0"/>
    </xf>
    <xf numFmtId="0" fontId="11" fillId="0" borderId="5" xfId="0" quotePrefix="1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locked="0"/>
    </xf>
    <xf numFmtId="0" fontId="21" fillId="0" borderId="18" xfId="0" applyFont="1" applyBorder="1" applyAlignment="1" applyProtection="1">
      <alignment horizontal="center"/>
      <protection locked="0"/>
    </xf>
    <xf numFmtId="0" fontId="21" fillId="4" borderId="0" xfId="0" applyFont="1" applyFill="1" applyAlignment="1" applyProtection="1">
      <alignment horizont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57" fillId="0" borderId="3" xfId="0" applyFont="1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38" xfId="0" applyBorder="1" applyAlignment="1" applyProtection="1">
      <alignment horizontal="center"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6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5" xfId="0" quotePrefix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left" wrapText="1"/>
      <protection locked="0"/>
    </xf>
    <xf numFmtId="0" fontId="0" fillId="0" borderId="24" xfId="0" applyBorder="1" applyAlignment="1" applyProtection="1">
      <alignment horizontal="left" wrapText="1"/>
      <protection locked="0"/>
    </xf>
    <xf numFmtId="0" fontId="2" fillId="5" borderId="25" xfId="0" applyFont="1" applyFill="1" applyBorder="1" applyAlignment="1" applyProtection="1">
      <alignment horizontal="center"/>
      <protection locked="0"/>
    </xf>
    <xf numFmtId="0" fontId="2" fillId="5" borderId="1" xfId="0" applyFont="1" applyFill="1" applyBorder="1" applyAlignment="1" applyProtection="1">
      <alignment horizontal="center"/>
      <protection locked="0"/>
    </xf>
    <xf numFmtId="0" fontId="2" fillId="5" borderId="22" xfId="0" applyFont="1" applyFill="1" applyBorder="1" applyAlignment="1" applyProtection="1">
      <alignment horizontal="center" vertical="center"/>
      <protection locked="0"/>
    </xf>
    <xf numFmtId="0" fontId="2" fillId="5" borderId="24" xfId="0" applyFont="1" applyFill="1" applyBorder="1" applyAlignment="1" applyProtection="1">
      <alignment horizontal="center" vertical="center"/>
      <protection locked="0"/>
    </xf>
    <xf numFmtId="0" fontId="2" fillId="5" borderId="8" xfId="0" applyFont="1" applyFill="1" applyBorder="1" applyAlignment="1" applyProtection="1">
      <alignment horizontal="center" vertical="center"/>
      <protection locked="0"/>
    </xf>
    <xf numFmtId="0" fontId="2" fillId="5" borderId="10" xfId="0" applyFont="1" applyFill="1" applyBorder="1" applyAlignment="1" applyProtection="1">
      <alignment horizontal="center" vertical="center"/>
      <protection locked="0"/>
    </xf>
    <xf numFmtId="0" fontId="2" fillId="5" borderId="12" xfId="0" applyFont="1" applyFill="1" applyBorder="1" applyAlignment="1" applyProtection="1">
      <alignment horizontal="center" vertical="center"/>
      <protection locked="0"/>
    </xf>
    <xf numFmtId="0" fontId="2" fillId="5" borderId="13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5" fillId="0" borderId="2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23" fillId="4" borderId="22" xfId="0" applyFont="1" applyFill="1" applyBorder="1" applyAlignment="1" applyProtection="1">
      <alignment horizontal="center" vertical="center" wrapText="1"/>
      <protection hidden="1"/>
    </xf>
    <xf numFmtId="0" fontId="23" fillId="4" borderId="24" xfId="0" applyFont="1" applyFill="1" applyBorder="1" applyAlignment="1" applyProtection="1">
      <alignment horizontal="center" vertical="center" wrapText="1"/>
      <protection hidden="1"/>
    </xf>
    <xf numFmtId="0" fontId="2" fillId="2" borderId="34" xfId="0" applyFont="1" applyFill="1" applyBorder="1" applyAlignment="1" applyProtection="1">
      <alignment horizontal="center" vertical="center"/>
      <protection locked="0"/>
    </xf>
    <xf numFmtId="0" fontId="2" fillId="2" borderId="35" xfId="0" applyFont="1" applyFill="1" applyBorder="1" applyAlignment="1" applyProtection="1">
      <alignment horizontal="center" vertical="center"/>
      <protection locked="0"/>
    </xf>
    <xf numFmtId="0" fontId="2" fillId="4" borderId="22" xfId="0" applyFont="1" applyFill="1" applyBorder="1" applyAlignment="1" applyProtection="1">
      <alignment horizontal="center" vertical="center"/>
      <protection hidden="1"/>
    </xf>
    <xf numFmtId="0" fontId="2" fillId="4" borderId="24" xfId="0" applyFont="1" applyFill="1" applyBorder="1" applyAlignment="1" applyProtection="1">
      <alignment horizontal="center" vertical="center"/>
      <protection hidden="1"/>
    </xf>
    <xf numFmtId="0" fontId="35" fillId="2" borderId="22" xfId="0" applyFont="1" applyFill="1" applyBorder="1" applyAlignment="1" applyProtection="1">
      <alignment horizontal="center" vertical="center" wrapText="1"/>
      <protection locked="0"/>
    </xf>
    <xf numFmtId="0" fontId="35" fillId="2" borderId="24" xfId="0" applyFont="1" applyFill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center" wrapText="1"/>
      <protection locked="0"/>
    </xf>
    <xf numFmtId="0" fontId="0" fillId="0" borderId="12" xfId="0" applyBorder="1" applyAlignment="1" applyProtection="1">
      <alignment horizontal="left" vertical="center" wrapText="1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13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wrapText="1"/>
      <protection locked="0"/>
    </xf>
    <xf numFmtId="0" fontId="9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center" wrapText="1"/>
      <protection locked="0"/>
    </xf>
    <xf numFmtId="0" fontId="46" fillId="0" borderId="0" xfId="0" applyFont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center" vertical="center" wrapText="1"/>
      <protection hidden="1"/>
    </xf>
    <xf numFmtId="0" fontId="9" fillId="0" borderId="8" xfId="0" applyFont="1" applyBorder="1" applyAlignment="1" applyProtection="1">
      <alignment horizontal="center" vertical="center" wrapText="1"/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9" fillId="0" borderId="10" xfId="0" applyFont="1" applyBorder="1" applyAlignment="1" applyProtection="1">
      <alignment horizontal="center" vertical="center" wrapText="1"/>
      <protection locked="0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horizontal="center" vertical="center" wrapText="1"/>
      <protection locked="0"/>
    </xf>
    <xf numFmtId="0" fontId="9" fillId="0" borderId="12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13" xfId="0" applyFont="1" applyBorder="1" applyAlignment="1" applyProtection="1">
      <alignment horizontal="center" vertical="center" wrapText="1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23" xfId="0" applyFont="1" applyBorder="1" applyAlignment="1" applyProtection="1">
      <alignment horizontal="center" vertical="center"/>
      <protection locked="0"/>
    </xf>
    <xf numFmtId="0" fontId="7" fillId="0" borderId="24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7" fillId="0" borderId="22" xfId="0" applyFont="1" applyBorder="1" applyAlignment="1" applyProtection="1">
      <alignment horizontal="center" vertical="center" wrapText="1"/>
      <protection locked="0"/>
    </xf>
    <xf numFmtId="0" fontId="7" fillId="0" borderId="23" xfId="0" applyFont="1" applyBorder="1" applyAlignment="1" applyProtection="1">
      <alignment horizontal="center" vertical="center" wrapText="1"/>
      <protection locked="0"/>
    </xf>
    <xf numFmtId="0" fontId="7" fillId="0" borderId="24" xfId="0" applyFont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22" xfId="0" applyFont="1" applyBorder="1" applyAlignment="1" applyProtection="1">
      <alignment horizontal="center" vertical="center" wrapText="1"/>
      <protection locked="0"/>
    </xf>
    <xf numFmtId="0" fontId="5" fillId="0" borderId="23" xfId="0" applyFont="1" applyBorder="1" applyAlignment="1" applyProtection="1">
      <alignment horizontal="center" vertical="center" wrapText="1"/>
      <protection locked="0"/>
    </xf>
    <xf numFmtId="0" fontId="5" fillId="0" borderId="24" xfId="0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left" vertical="top" wrapText="1"/>
      <protection locked="0"/>
    </xf>
    <xf numFmtId="0" fontId="0" fillId="0" borderId="9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3" xfId="0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9" xfId="0" applyBorder="1" applyAlignment="1" applyProtection="1">
      <alignment horizontal="left" vertical="top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51" fillId="0" borderId="8" xfId="0" applyFont="1" applyBorder="1" applyAlignment="1" applyProtection="1">
      <alignment horizontal="center" vertical="center" wrapText="1"/>
      <protection locked="0"/>
    </xf>
    <xf numFmtId="0" fontId="51" fillId="0" borderId="9" xfId="0" applyFont="1" applyBorder="1" applyAlignment="1" applyProtection="1">
      <alignment horizontal="center" vertical="center" wrapText="1"/>
      <protection locked="0"/>
    </xf>
    <xf numFmtId="0" fontId="51" fillId="0" borderId="10" xfId="0" applyFont="1" applyBorder="1" applyAlignment="1" applyProtection="1">
      <alignment horizontal="center" vertical="center" wrapText="1"/>
      <protection locked="0"/>
    </xf>
    <xf numFmtId="0" fontId="51" fillId="0" borderId="12" xfId="0" applyFont="1" applyBorder="1" applyAlignment="1" applyProtection="1">
      <alignment horizontal="center" vertical="center" wrapText="1"/>
      <protection locked="0"/>
    </xf>
    <xf numFmtId="0" fontId="51" fillId="0" borderId="2" xfId="0" applyFont="1" applyBorder="1" applyAlignment="1" applyProtection="1">
      <alignment horizontal="center" vertical="center" wrapText="1"/>
      <protection locked="0"/>
    </xf>
    <xf numFmtId="0" fontId="51" fillId="0" borderId="13" xfId="0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left" vertical="top"/>
      <protection locked="0"/>
    </xf>
    <xf numFmtId="0" fontId="0" fillId="0" borderId="12" xfId="0" applyBorder="1" applyAlignment="1" applyProtection="1">
      <alignment horizontal="left" vertical="top"/>
      <protection locked="0"/>
    </xf>
    <xf numFmtId="0" fontId="0" fillId="0" borderId="2" xfId="0" applyBorder="1" applyAlignment="1" applyProtection="1">
      <alignment horizontal="left" vertical="top"/>
      <protection locked="0"/>
    </xf>
    <xf numFmtId="0" fontId="0" fillId="0" borderId="13" xfId="0" applyBorder="1" applyAlignment="1" applyProtection="1">
      <alignment horizontal="left" vertical="top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17" fontId="5" fillId="4" borderId="5" xfId="0" applyNumberFormat="1" applyFont="1" applyFill="1" applyBorder="1" applyAlignment="1" applyProtection="1">
      <alignment horizontal="center"/>
      <protection hidden="1"/>
    </xf>
    <xf numFmtId="17" fontId="5" fillId="4" borderId="7" xfId="0" applyNumberFormat="1" applyFont="1" applyFill="1" applyBorder="1" applyAlignment="1" applyProtection="1">
      <alignment horizontal="center"/>
      <protection hidden="1"/>
    </xf>
    <xf numFmtId="0" fontId="0" fillId="4" borderId="5" xfId="0" applyFill="1" applyBorder="1" applyAlignment="1" applyProtection="1">
      <alignment horizontal="left" vertical="center" wrapText="1"/>
      <protection hidden="1"/>
    </xf>
    <xf numFmtId="0" fontId="0" fillId="4" borderId="6" xfId="0" applyFill="1" applyBorder="1" applyAlignment="1" applyProtection="1">
      <alignment horizontal="left" vertical="center" wrapText="1"/>
      <protection hidden="1"/>
    </xf>
    <xf numFmtId="0" fontId="0" fillId="4" borderId="7" xfId="0" applyFill="1" applyBorder="1" applyAlignment="1" applyProtection="1">
      <alignment horizontal="left" vertical="center" wrapText="1"/>
      <protection hidden="1"/>
    </xf>
    <xf numFmtId="0" fontId="2" fillId="0" borderId="6" xfId="0" applyFont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0" fillId="4" borderId="8" xfId="0" applyFill="1" applyBorder="1" applyAlignment="1" applyProtection="1">
      <alignment horizontal="center" vertical="center" wrapText="1"/>
      <protection hidden="1"/>
    </xf>
    <xf numFmtId="0" fontId="0" fillId="4" borderId="9" xfId="0" applyFill="1" applyBorder="1" applyAlignment="1" applyProtection="1">
      <alignment horizontal="center" vertical="center" wrapText="1"/>
      <protection hidden="1"/>
    </xf>
    <xf numFmtId="0" fontId="0" fillId="4" borderId="10" xfId="0" applyFill="1" applyBorder="1" applyAlignment="1" applyProtection="1">
      <alignment horizontal="center" vertical="center" wrapText="1"/>
      <protection hidden="1"/>
    </xf>
    <xf numFmtId="0" fontId="0" fillId="4" borderId="4" xfId="0" applyFill="1" applyBorder="1" applyAlignment="1" applyProtection="1">
      <alignment horizontal="center" vertical="center" wrapText="1"/>
      <protection hidden="1"/>
    </xf>
    <xf numFmtId="0" fontId="0" fillId="4" borderId="11" xfId="0" applyFill="1" applyBorder="1" applyAlignment="1" applyProtection="1">
      <alignment horizontal="center" vertical="center" wrapText="1"/>
      <protection hidden="1"/>
    </xf>
    <xf numFmtId="0" fontId="0" fillId="4" borderId="12" xfId="0" applyFill="1" applyBorder="1" applyAlignment="1" applyProtection="1">
      <alignment horizontal="center" vertical="center" wrapText="1"/>
      <protection hidden="1"/>
    </xf>
    <xf numFmtId="0" fontId="0" fillId="4" borderId="2" xfId="0" applyFill="1" applyBorder="1" applyAlignment="1" applyProtection="1">
      <alignment horizontal="center" vertical="center" wrapText="1"/>
      <protection hidden="1"/>
    </xf>
    <xf numFmtId="0" fontId="0" fillId="4" borderId="13" xfId="0" applyFill="1" applyBorder="1" applyAlignment="1" applyProtection="1">
      <alignment horizontal="center" vertical="center" wrapText="1"/>
      <protection hidden="1"/>
    </xf>
    <xf numFmtId="0" fontId="0" fillId="4" borderId="8" xfId="0" applyFill="1" applyBorder="1" applyAlignment="1" applyProtection="1">
      <alignment horizontal="left" vertical="center" wrapText="1"/>
      <protection hidden="1"/>
    </xf>
    <xf numFmtId="0" fontId="0" fillId="4" borderId="9" xfId="0" applyFill="1" applyBorder="1" applyAlignment="1" applyProtection="1">
      <alignment horizontal="left" vertical="center" wrapText="1"/>
      <protection hidden="1"/>
    </xf>
    <xf numFmtId="0" fontId="0" fillId="4" borderId="10" xfId="0" applyFill="1" applyBorder="1" applyAlignment="1" applyProtection="1">
      <alignment horizontal="left" vertical="center" wrapText="1"/>
      <protection hidden="1"/>
    </xf>
    <xf numFmtId="0" fontId="0" fillId="4" borderId="4" xfId="0" applyFill="1" applyBorder="1" applyAlignment="1" applyProtection="1">
      <alignment horizontal="left" vertical="center" wrapText="1"/>
      <protection hidden="1"/>
    </xf>
    <xf numFmtId="0" fontId="0" fillId="4" borderId="0" xfId="0" applyFill="1" applyAlignment="1" applyProtection="1">
      <alignment horizontal="left" vertical="center" wrapText="1"/>
      <protection hidden="1"/>
    </xf>
    <xf numFmtId="0" fontId="0" fillId="4" borderId="11" xfId="0" applyFill="1" applyBorder="1" applyAlignment="1" applyProtection="1">
      <alignment horizontal="left" vertical="center" wrapText="1"/>
      <protection hidden="1"/>
    </xf>
    <xf numFmtId="0" fontId="0" fillId="4" borderId="12" xfId="0" applyFill="1" applyBorder="1" applyAlignment="1" applyProtection="1">
      <alignment horizontal="left" vertical="center" wrapText="1"/>
      <protection hidden="1"/>
    </xf>
    <xf numFmtId="0" fontId="0" fillId="4" borderId="2" xfId="0" applyFill="1" applyBorder="1" applyAlignment="1" applyProtection="1">
      <alignment horizontal="left" vertical="center" wrapText="1"/>
      <protection hidden="1"/>
    </xf>
    <xf numFmtId="0" fontId="0" fillId="4" borderId="13" xfId="0" applyFill="1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left" vertical="center" wrapText="1"/>
      <protection hidden="1"/>
    </xf>
    <xf numFmtId="0" fontId="0" fillId="0" borderId="1" xfId="0" applyBorder="1" applyAlignment="1" applyProtection="1">
      <alignment horizontal="left"/>
      <protection locked="0"/>
    </xf>
    <xf numFmtId="0" fontId="5" fillId="4" borderId="5" xfId="0" applyFont="1" applyFill="1" applyBorder="1" applyAlignment="1" applyProtection="1">
      <alignment horizontal="left"/>
      <protection hidden="1"/>
    </xf>
    <xf numFmtId="0" fontId="5" fillId="4" borderId="6" xfId="0" applyFont="1" applyFill="1" applyBorder="1" applyAlignment="1" applyProtection="1">
      <alignment horizontal="left"/>
      <protection hidden="1"/>
    </xf>
    <xf numFmtId="0" fontId="5" fillId="4" borderId="7" xfId="0" applyFont="1" applyFill="1" applyBorder="1" applyAlignment="1" applyProtection="1">
      <alignment horizontal="left"/>
      <protection hidden="1"/>
    </xf>
    <xf numFmtId="0" fontId="31" fillId="0" borderId="8" xfId="0" applyFont="1" applyBorder="1" applyAlignment="1" applyProtection="1">
      <alignment horizontal="left" vertical="center" wrapText="1"/>
      <protection locked="0"/>
    </xf>
    <xf numFmtId="0" fontId="31" fillId="0" borderId="9" xfId="0" applyFont="1" applyBorder="1" applyAlignment="1" applyProtection="1">
      <alignment horizontal="left" vertical="center" wrapText="1"/>
      <protection locked="0"/>
    </xf>
    <xf numFmtId="0" fontId="31" fillId="0" borderId="10" xfId="0" applyFont="1" applyBorder="1" applyAlignment="1" applyProtection="1">
      <alignment horizontal="left" vertical="center" wrapText="1"/>
      <protection locked="0"/>
    </xf>
    <xf numFmtId="0" fontId="31" fillId="0" borderId="4" xfId="0" applyFont="1" applyBorder="1" applyAlignment="1" applyProtection="1">
      <alignment horizontal="left" vertical="center" wrapText="1"/>
      <protection locked="0"/>
    </xf>
    <xf numFmtId="0" fontId="31" fillId="0" borderId="0" xfId="0" applyFont="1" applyAlignment="1" applyProtection="1">
      <alignment horizontal="left" vertical="center" wrapText="1"/>
      <protection locked="0"/>
    </xf>
    <xf numFmtId="0" fontId="31" fillId="0" borderId="11" xfId="0" applyFont="1" applyBorder="1" applyAlignment="1" applyProtection="1">
      <alignment horizontal="left" vertical="center" wrapText="1"/>
      <protection locked="0"/>
    </xf>
    <xf numFmtId="0" fontId="31" fillId="0" borderId="12" xfId="0" applyFont="1" applyBorder="1" applyAlignment="1" applyProtection="1">
      <alignment horizontal="left" vertical="center" wrapText="1"/>
      <protection locked="0"/>
    </xf>
    <xf numFmtId="0" fontId="31" fillId="0" borderId="2" xfId="0" applyFont="1" applyBorder="1" applyAlignment="1" applyProtection="1">
      <alignment horizontal="left" vertical="center" wrapText="1"/>
      <protection locked="0"/>
    </xf>
    <xf numFmtId="0" fontId="31" fillId="0" borderId="13" xfId="0" applyFont="1" applyBorder="1" applyAlignment="1" applyProtection="1">
      <alignment horizontal="left" vertical="center" wrapText="1"/>
      <protection locked="0"/>
    </xf>
    <xf numFmtId="0" fontId="31" fillId="0" borderId="9" xfId="0" applyFont="1" applyBorder="1" applyAlignment="1" applyProtection="1">
      <alignment horizontal="center"/>
      <protection locked="0"/>
    </xf>
    <xf numFmtId="0" fontId="31" fillId="0" borderId="10" xfId="0" applyFont="1" applyBorder="1" applyAlignment="1" applyProtection="1">
      <alignment horizontal="center"/>
      <protection locked="0"/>
    </xf>
    <xf numFmtId="0" fontId="31" fillId="0" borderId="8" xfId="0" applyFont="1" applyBorder="1" applyAlignment="1" applyProtection="1">
      <alignment horizontal="center" vertical="center" wrapText="1"/>
      <protection locked="0"/>
    </xf>
    <xf numFmtId="0" fontId="31" fillId="0" borderId="10" xfId="0" applyFont="1" applyBorder="1" applyAlignment="1" applyProtection="1">
      <alignment horizontal="center" vertical="center" wrapText="1"/>
      <protection locked="0"/>
    </xf>
    <xf numFmtId="0" fontId="31" fillId="0" borderId="4" xfId="0" applyFont="1" applyBorder="1" applyAlignment="1" applyProtection="1">
      <alignment horizontal="center" vertical="center" wrapText="1"/>
      <protection locked="0"/>
    </xf>
    <xf numFmtId="0" fontId="31" fillId="0" borderId="11" xfId="0" applyFont="1" applyBorder="1" applyAlignment="1" applyProtection="1">
      <alignment horizontal="center" vertical="center" wrapText="1"/>
      <protection locked="0"/>
    </xf>
    <xf numFmtId="0" fontId="31" fillId="0" borderId="12" xfId="0" applyFont="1" applyBorder="1" applyAlignment="1" applyProtection="1">
      <alignment horizontal="center" vertical="center" wrapText="1"/>
      <protection locked="0"/>
    </xf>
    <xf numFmtId="0" fontId="31" fillId="0" borderId="13" xfId="0" applyFont="1" applyBorder="1" applyAlignment="1" applyProtection="1">
      <alignment horizontal="center" vertical="center" wrapText="1"/>
      <protection locked="0"/>
    </xf>
    <xf numFmtId="0" fontId="31" fillId="0" borderId="0" xfId="0" applyFont="1" applyAlignment="1" applyProtection="1">
      <alignment horizontal="center"/>
      <protection locked="0"/>
    </xf>
    <xf numFmtId="0" fontId="31" fillId="0" borderId="11" xfId="0" applyFont="1" applyBorder="1" applyAlignment="1" applyProtection="1">
      <alignment horizontal="center"/>
      <protection locked="0"/>
    </xf>
    <xf numFmtId="0" fontId="31" fillId="0" borderId="2" xfId="0" applyFont="1" applyBorder="1" applyAlignment="1" applyProtection="1">
      <alignment horizontal="center"/>
      <protection locked="0"/>
    </xf>
    <xf numFmtId="0" fontId="31" fillId="0" borderId="13" xfId="0" applyFont="1" applyBorder="1" applyAlignment="1" applyProtection="1">
      <alignment horizontal="center"/>
      <protection locked="0"/>
    </xf>
    <xf numFmtId="165" fontId="0" fillId="0" borderId="8" xfId="1" applyNumberFormat="1" applyFont="1" applyBorder="1" applyAlignment="1" applyProtection="1">
      <alignment horizontal="center" vertical="center"/>
      <protection locked="0"/>
    </xf>
    <xf numFmtId="165" fontId="0" fillId="0" borderId="10" xfId="1" applyNumberFormat="1" applyFont="1" applyBorder="1" applyAlignment="1" applyProtection="1">
      <alignment horizontal="center" vertical="center"/>
      <protection locked="0"/>
    </xf>
    <xf numFmtId="165" fontId="0" fillId="0" borderId="4" xfId="1" applyNumberFormat="1" applyFont="1" applyBorder="1" applyAlignment="1" applyProtection="1">
      <alignment horizontal="center" vertical="center"/>
      <protection locked="0"/>
    </xf>
    <xf numFmtId="165" fontId="0" fillId="0" borderId="11" xfId="1" applyNumberFormat="1" applyFont="1" applyBorder="1" applyAlignment="1" applyProtection="1">
      <alignment horizontal="center" vertical="center"/>
      <protection locked="0"/>
    </xf>
    <xf numFmtId="165" fontId="0" fillId="0" borderId="12" xfId="1" applyNumberFormat="1" applyFont="1" applyBorder="1" applyAlignment="1" applyProtection="1">
      <alignment horizontal="center" vertical="center"/>
      <protection locked="0"/>
    </xf>
    <xf numFmtId="165" fontId="0" fillId="0" borderId="13" xfId="1" applyNumberFormat="1" applyFont="1" applyBorder="1" applyAlignment="1" applyProtection="1">
      <alignment horizontal="center" vertical="center"/>
      <protection locked="0"/>
    </xf>
    <xf numFmtId="0" fontId="48" fillId="0" borderId="8" xfId="0" applyFont="1" applyBorder="1" applyAlignment="1" applyProtection="1">
      <alignment horizontal="left" vertical="center" wrapText="1"/>
      <protection locked="0"/>
    </xf>
    <xf numFmtId="0" fontId="48" fillId="0" borderId="9" xfId="0" applyFont="1" applyBorder="1" applyAlignment="1" applyProtection="1">
      <alignment horizontal="left" vertical="center" wrapText="1"/>
      <protection locked="0"/>
    </xf>
    <xf numFmtId="0" fontId="48" fillId="0" borderId="10" xfId="0" applyFont="1" applyBorder="1" applyAlignment="1" applyProtection="1">
      <alignment horizontal="left" vertical="center" wrapText="1"/>
      <protection locked="0"/>
    </xf>
    <xf numFmtId="0" fontId="48" fillId="0" borderId="4" xfId="0" applyFont="1" applyBorder="1" applyAlignment="1" applyProtection="1">
      <alignment horizontal="left" vertical="center" wrapText="1"/>
      <protection locked="0"/>
    </xf>
    <xf numFmtId="0" fontId="48" fillId="0" borderId="0" xfId="0" applyFont="1" applyAlignment="1" applyProtection="1">
      <alignment horizontal="left" vertical="center" wrapText="1"/>
      <protection locked="0"/>
    </xf>
    <xf numFmtId="0" fontId="48" fillId="0" borderId="11" xfId="0" applyFont="1" applyBorder="1" applyAlignment="1" applyProtection="1">
      <alignment horizontal="left" vertical="center" wrapText="1"/>
      <protection locked="0"/>
    </xf>
    <xf numFmtId="0" fontId="48" fillId="0" borderId="12" xfId="0" applyFont="1" applyBorder="1" applyAlignment="1" applyProtection="1">
      <alignment horizontal="left" vertical="center" wrapText="1"/>
      <protection locked="0"/>
    </xf>
    <xf numFmtId="0" fontId="48" fillId="0" borderId="2" xfId="0" applyFont="1" applyBorder="1" applyAlignment="1" applyProtection="1">
      <alignment horizontal="left" vertical="center" wrapText="1"/>
      <protection locked="0"/>
    </xf>
    <xf numFmtId="0" fontId="48" fillId="0" borderId="13" xfId="0" applyFont="1" applyBorder="1" applyAlignment="1" applyProtection="1">
      <alignment horizontal="left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wrapText="1"/>
      <protection locked="0"/>
    </xf>
    <xf numFmtId="0" fontId="0" fillId="0" borderId="10" xfId="0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 vertical="center" wrapText="1"/>
      <protection hidden="1"/>
    </xf>
    <xf numFmtId="0" fontId="0" fillId="0" borderId="9" xfId="0" applyBorder="1" applyAlignment="1" applyProtection="1">
      <alignment horizontal="left" vertical="center" wrapText="1"/>
      <protection hidden="1"/>
    </xf>
    <xf numFmtId="0" fontId="0" fillId="0" borderId="10" xfId="0" applyBorder="1" applyAlignment="1" applyProtection="1">
      <alignment horizontal="left" vertical="center" wrapText="1"/>
      <protection hidden="1"/>
    </xf>
    <xf numFmtId="0" fontId="0" fillId="0" borderId="4" xfId="0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11" xfId="0" applyBorder="1" applyAlignment="1" applyProtection="1">
      <alignment horizontal="left" vertical="center" wrapText="1"/>
      <protection hidden="1"/>
    </xf>
    <xf numFmtId="0" fontId="0" fillId="0" borderId="12" xfId="0" applyBorder="1" applyAlignment="1" applyProtection="1">
      <alignment horizontal="left" vertical="center" wrapText="1"/>
      <protection hidden="1"/>
    </xf>
    <xf numFmtId="0" fontId="0" fillId="0" borderId="2" xfId="0" applyBorder="1" applyAlignment="1" applyProtection="1">
      <alignment horizontal="left" vertical="center" wrapText="1"/>
      <protection hidden="1"/>
    </xf>
    <xf numFmtId="0" fontId="0" fillId="0" borderId="13" xfId="0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 wrapText="1"/>
      <protection hidden="1"/>
    </xf>
    <xf numFmtId="0" fontId="0" fillId="0" borderId="9" xfId="0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11" xfId="0" applyBorder="1" applyAlignment="1" applyProtection="1">
      <alignment horizontal="center" vertical="center" wrapText="1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31" fillId="8" borderId="9" xfId="0" applyFont="1" applyFill="1" applyBorder="1" applyAlignment="1" applyProtection="1">
      <alignment horizontal="center"/>
      <protection locked="0"/>
    </xf>
    <xf numFmtId="0" fontId="31" fillId="8" borderId="10" xfId="0" applyFont="1" applyFill="1" applyBorder="1" applyAlignment="1" applyProtection="1">
      <alignment horizontal="center"/>
      <protection locked="0"/>
    </xf>
    <xf numFmtId="0" fontId="31" fillId="8" borderId="0" xfId="0" applyFont="1" applyFill="1" applyAlignment="1" applyProtection="1">
      <alignment horizontal="center"/>
      <protection locked="0"/>
    </xf>
    <xf numFmtId="0" fontId="31" fillId="8" borderId="11" xfId="0" applyFont="1" applyFill="1" applyBorder="1" applyAlignment="1" applyProtection="1">
      <alignment horizontal="center"/>
      <protection locked="0"/>
    </xf>
    <xf numFmtId="0" fontId="31" fillId="8" borderId="2" xfId="0" applyFont="1" applyFill="1" applyBorder="1" applyAlignment="1" applyProtection="1">
      <alignment horizontal="center"/>
      <protection locked="0"/>
    </xf>
    <xf numFmtId="0" fontId="31" fillId="8" borderId="13" xfId="0" applyFont="1" applyFill="1" applyBorder="1" applyAlignment="1" applyProtection="1">
      <alignment horizontal="center"/>
      <protection locked="0"/>
    </xf>
    <xf numFmtId="0" fontId="31" fillId="0" borderId="8" xfId="0" applyFont="1" applyBorder="1" applyAlignment="1" applyProtection="1">
      <alignment horizontal="center" vertical="center"/>
      <protection locked="0"/>
    </xf>
    <xf numFmtId="0" fontId="31" fillId="0" borderId="10" xfId="0" applyFont="1" applyBorder="1" applyAlignment="1" applyProtection="1">
      <alignment horizontal="center" vertical="center"/>
      <protection locked="0"/>
    </xf>
    <xf numFmtId="0" fontId="31" fillId="0" borderId="4" xfId="0" applyFont="1" applyBorder="1" applyAlignment="1" applyProtection="1">
      <alignment horizontal="center" vertical="center"/>
      <protection locked="0"/>
    </xf>
    <xf numFmtId="0" fontId="31" fillId="0" borderId="11" xfId="0" applyFont="1" applyBorder="1" applyAlignment="1" applyProtection="1">
      <alignment horizontal="center" vertical="center"/>
      <protection locked="0"/>
    </xf>
    <xf numFmtId="0" fontId="31" fillId="0" borderId="12" xfId="0" applyFont="1" applyBorder="1" applyAlignment="1" applyProtection="1">
      <alignment horizontal="center" vertical="center"/>
      <protection locked="0"/>
    </xf>
    <xf numFmtId="0" fontId="31" fillId="0" borderId="13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8" fillId="0" borderId="5" xfId="0" applyFont="1" applyBorder="1" applyAlignment="1" applyProtection="1">
      <alignment horizontal="center" vertical="center"/>
      <protection locked="0"/>
    </xf>
    <xf numFmtId="0" fontId="28" fillId="0" borderId="6" xfId="0" applyFont="1" applyBorder="1" applyAlignment="1" applyProtection="1">
      <alignment horizontal="center" vertical="center"/>
      <protection locked="0"/>
    </xf>
    <xf numFmtId="0" fontId="28" fillId="0" borderId="7" xfId="0" applyFont="1" applyBorder="1" applyAlignment="1" applyProtection="1">
      <alignment horizontal="center" vertical="center"/>
      <protection locked="0"/>
    </xf>
    <xf numFmtId="0" fontId="5" fillId="0" borderId="22" xfId="0" applyFont="1" applyBorder="1" applyAlignment="1" applyProtection="1">
      <alignment horizontal="center" vertical="center"/>
      <protection locked="0"/>
    </xf>
    <xf numFmtId="0" fontId="5" fillId="0" borderId="23" xfId="0" applyFont="1" applyBorder="1" applyAlignment="1" applyProtection="1">
      <alignment horizontal="center" vertical="center"/>
      <protection locked="0"/>
    </xf>
    <xf numFmtId="0" fontId="5" fillId="0" borderId="24" xfId="0" applyFont="1" applyBorder="1" applyAlignment="1" applyProtection="1">
      <alignment horizontal="center" vertical="center"/>
      <protection locked="0"/>
    </xf>
    <xf numFmtId="0" fontId="23" fillId="4" borderId="22" xfId="0" applyFont="1" applyFill="1" applyBorder="1" applyAlignment="1" applyProtection="1">
      <alignment horizontal="center" vertical="center" wrapText="1"/>
      <protection locked="0"/>
    </xf>
    <xf numFmtId="0" fontId="23" fillId="4" borderId="24" xfId="0" applyFont="1" applyFill="1" applyBorder="1" applyAlignment="1" applyProtection="1">
      <alignment horizontal="center" vertical="center" wrapText="1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 wrapText="1"/>
      <protection locked="0"/>
    </xf>
    <xf numFmtId="0" fontId="2" fillId="2" borderId="24" xfId="0" applyFont="1" applyFill="1" applyBorder="1" applyAlignment="1" applyProtection="1">
      <alignment horizontal="center" vertical="center" wrapText="1"/>
      <protection locked="0"/>
    </xf>
    <xf numFmtId="0" fontId="23" fillId="2" borderId="22" xfId="0" applyFont="1" applyFill="1" applyBorder="1" applyAlignment="1" applyProtection="1">
      <alignment horizontal="center" vertical="center" wrapText="1"/>
      <protection locked="0"/>
    </xf>
    <xf numFmtId="0" fontId="23" fillId="2" borderId="24" xfId="0" applyFont="1" applyFill="1" applyBorder="1" applyAlignment="1" applyProtection="1">
      <alignment horizontal="center" vertical="center" wrapText="1"/>
      <protection locked="0"/>
    </xf>
    <xf numFmtId="0" fontId="12" fillId="0" borderId="9" xfId="0" applyFont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6" fillId="0" borderId="22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17" fillId="0" borderId="5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2" fillId="0" borderId="5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wrapText="1"/>
    </xf>
    <xf numFmtId="0" fontId="12" fillId="0" borderId="6" xfId="0" applyFont="1" applyBorder="1" applyAlignment="1">
      <alignment horizontal="left" wrapText="1"/>
    </xf>
    <xf numFmtId="0" fontId="12" fillId="0" borderId="7" xfId="0" applyFont="1" applyBorder="1" applyAlignment="1">
      <alignment horizontal="left" wrapText="1"/>
    </xf>
    <xf numFmtId="0" fontId="12" fillId="0" borderId="1" xfId="0" applyFont="1" applyBorder="1" applyAlignment="1">
      <alignment horizontal="left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165" fontId="12" fillId="0" borderId="5" xfId="1" applyNumberFormat="1" applyFont="1" applyBorder="1" applyAlignment="1">
      <alignment horizontal="center"/>
    </xf>
    <xf numFmtId="165" fontId="12" fillId="0" borderId="6" xfId="1" applyNumberFormat="1" applyFont="1" applyBorder="1" applyAlignment="1">
      <alignment horizontal="center"/>
    </xf>
    <xf numFmtId="165" fontId="12" fillId="0" borderId="7" xfId="1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6" fillId="0" borderId="6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6" fillId="0" borderId="8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12" fillId="0" borderId="22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</cellXfs>
  <cellStyles count="6">
    <cellStyle name="Comma" xfId="1" builtinId="3"/>
    <cellStyle name="Hyperlink" xfId="5" builtinId="8"/>
    <cellStyle name="Normal" xfId="0" builtinId="0"/>
    <cellStyle name="Normal 2" xfId="3"/>
    <cellStyle name="Normal 3" xfId="4"/>
    <cellStyle name="Percent" xfId="2" builtinId="5"/>
  </cellStyles>
  <dxfs count="78">
    <dxf>
      <font>
        <color rgb="FF9C0006"/>
      </font>
      <fill>
        <patternFill>
          <bgColor rgb="FFFFC7CE"/>
        </patternFill>
      </fill>
    </dxf>
    <dxf>
      <protection locked="0" hidden="0"/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FF00"/>
      <color rgb="FF0000CC"/>
      <color rgb="FFFFFF99"/>
      <color rgb="FF99FF66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Peta</a:t>
            </a:r>
            <a:r>
              <a:rPr lang="en-US" sz="1400" baseline="0"/>
              <a:t> Kemampuan Anggota Sebelum QCC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420956423869467"/>
          <c:y val="0.26003424913667933"/>
          <c:w val="0.56719490509562964"/>
          <c:h val="0.52945896422151562"/>
        </c:manualLayout>
      </c:layout>
      <c:radarChart>
        <c:radarStyle val="marker"/>
        <c:varyColors val="0"/>
        <c:ser>
          <c:idx val="0"/>
          <c:order val="0"/>
          <c:tx>
            <c:strRef>
              <c:f>'Peta Kemampuan QCC'!$E$5</c:f>
              <c:strCache>
                <c:ptCount val="1"/>
                <c:pt idx="0">
                  <c:v>7 Alat*</c:v>
                </c:pt>
              </c:strCache>
            </c:strRef>
          </c:tx>
          <c:cat>
            <c:strRef>
              <c:f>'Peta Kemampuan QCC'!$B$7:$B$15</c:f>
              <c:strCache>
                <c:ptCount val="9"/>
                <c:pt idx="0">
                  <c:v>Aulia</c:v>
                </c:pt>
                <c:pt idx="1">
                  <c:v>b</c:v>
                </c:pt>
                <c:pt idx="2">
                  <c:v>Mitra</c:v>
                </c:pt>
                <c:pt idx="3">
                  <c:v>Anugrah Sandi </c:v>
                </c:pt>
                <c:pt idx="4">
                  <c:v>Site Mill</c:v>
                </c:pt>
                <c:pt idx="5">
                  <c:v>CSR Site</c:v>
                </c:pt>
                <c:pt idx="6">
                  <c:v>D</c:v>
                </c:pt>
                <c:pt idx="7">
                  <c:v>E</c:v>
                </c:pt>
                <c:pt idx="8">
                  <c:v>F</c:v>
                </c:pt>
              </c:strCache>
            </c:strRef>
          </c:cat>
          <c:val>
            <c:numRef>
              <c:f>'Peta Kemampuan QCC'!$E$7:$E$15</c:f>
              <c:numCache>
                <c:formatCode>General</c:formatCode>
                <c:ptCount val="9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634-4CD7-A111-8E6637E25945}"/>
            </c:ext>
          </c:extLst>
        </c:ser>
        <c:ser>
          <c:idx val="1"/>
          <c:order val="1"/>
          <c:tx>
            <c:strRef>
              <c:f>'Peta Kemampuan QCC'!$F$5</c:f>
              <c:strCache>
                <c:ptCount val="1"/>
                <c:pt idx="0">
                  <c:v>8 Langkah*</c:v>
                </c:pt>
              </c:strCache>
            </c:strRef>
          </c:tx>
          <c:cat>
            <c:strRef>
              <c:f>'Peta Kemampuan QCC'!$B$7:$B$15</c:f>
              <c:strCache>
                <c:ptCount val="9"/>
                <c:pt idx="0">
                  <c:v>Aulia</c:v>
                </c:pt>
                <c:pt idx="1">
                  <c:v>b</c:v>
                </c:pt>
                <c:pt idx="2">
                  <c:v>Mitra</c:v>
                </c:pt>
                <c:pt idx="3">
                  <c:v>Anugrah Sandi </c:v>
                </c:pt>
                <c:pt idx="4">
                  <c:v>Site Mill</c:v>
                </c:pt>
                <c:pt idx="5">
                  <c:v>CSR Site</c:v>
                </c:pt>
                <c:pt idx="6">
                  <c:v>D</c:v>
                </c:pt>
                <c:pt idx="7">
                  <c:v>E</c:v>
                </c:pt>
                <c:pt idx="8">
                  <c:v>F</c:v>
                </c:pt>
              </c:strCache>
            </c:strRef>
          </c:cat>
          <c:val>
            <c:numRef>
              <c:f>'Peta Kemampuan QCC'!$F$7:$F$15</c:f>
              <c:numCache>
                <c:formatCode>General</c:formatCode>
                <c:ptCount val="9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634-4CD7-A111-8E6637E25945}"/>
            </c:ext>
          </c:extLst>
        </c:ser>
        <c:ser>
          <c:idx val="2"/>
          <c:order val="2"/>
          <c:tx>
            <c:strRef>
              <c:f>'Peta Kemampuan QCC'!$G$5</c:f>
              <c:strCache>
                <c:ptCount val="1"/>
                <c:pt idx="0">
                  <c:v>Pemahaman*</c:v>
                </c:pt>
              </c:strCache>
            </c:strRef>
          </c:tx>
          <c:cat>
            <c:strRef>
              <c:f>'Peta Kemampuan QCC'!$B$7:$B$15</c:f>
              <c:strCache>
                <c:ptCount val="9"/>
                <c:pt idx="0">
                  <c:v>Aulia</c:v>
                </c:pt>
                <c:pt idx="1">
                  <c:v>b</c:v>
                </c:pt>
                <c:pt idx="2">
                  <c:v>Mitra</c:v>
                </c:pt>
                <c:pt idx="3">
                  <c:v>Anugrah Sandi </c:v>
                </c:pt>
                <c:pt idx="4">
                  <c:v>Site Mill</c:v>
                </c:pt>
                <c:pt idx="5">
                  <c:v>CSR Site</c:v>
                </c:pt>
                <c:pt idx="6">
                  <c:v>D</c:v>
                </c:pt>
                <c:pt idx="7">
                  <c:v>E</c:v>
                </c:pt>
                <c:pt idx="8">
                  <c:v>F</c:v>
                </c:pt>
              </c:strCache>
            </c:strRef>
          </c:cat>
          <c:val>
            <c:numRef>
              <c:f>'Peta Kemampuan QCC'!$G$7:$G$15</c:f>
              <c:numCache>
                <c:formatCode>General</c:formatCode>
                <c:ptCount val="9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634-4CD7-A111-8E6637E25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80928"/>
        <c:axId val="145190912"/>
      </c:radarChart>
      <c:catAx>
        <c:axId val="14518092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5190912"/>
        <c:crosses val="autoZero"/>
        <c:auto val="1"/>
        <c:lblAlgn val="ctr"/>
        <c:lblOffset val="100"/>
        <c:noMultiLvlLbl val="0"/>
      </c:catAx>
      <c:valAx>
        <c:axId val="145190912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14518092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5.0000017267584358E-2"/>
          <c:y val="0.92187141357637836"/>
          <c:w val="0.8999999654648313"/>
          <c:h val="7.403442192976347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Peta</a:t>
            </a:r>
            <a:r>
              <a:rPr lang="en-US" sz="1400" baseline="0"/>
              <a:t> Kemampuan Anggota Sebelum QCC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4041479477641983"/>
          <c:y val="0.31325838755683472"/>
          <c:w val="0.50028790879667651"/>
          <c:h val="0.5007998127645088"/>
        </c:manualLayout>
      </c:layout>
      <c:radarChart>
        <c:radarStyle val="marker"/>
        <c:varyColors val="0"/>
        <c:ser>
          <c:idx val="2"/>
          <c:order val="0"/>
          <c:tx>
            <c:strRef>
              <c:f>'Peta Kemampuan QCC'!$H$5:$H$6</c:f>
              <c:strCache>
                <c:ptCount val="1"/>
                <c:pt idx="0">
                  <c:v>Total Nilai</c:v>
                </c:pt>
              </c:strCache>
            </c:strRef>
          </c:tx>
          <c:cat>
            <c:strRef>
              <c:f>'Peta Kemampuan QCC'!$B$7:$B$15</c:f>
              <c:strCache>
                <c:ptCount val="9"/>
                <c:pt idx="0">
                  <c:v>Aulia</c:v>
                </c:pt>
                <c:pt idx="1">
                  <c:v>b</c:v>
                </c:pt>
                <c:pt idx="2">
                  <c:v>Mitra</c:v>
                </c:pt>
                <c:pt idx="3">
                  <c:v>Anugrah Sandi </c:v>
                </c:pt>
                <c:pt idx="4">
                  <c:v>Site Mill</c:v>
                </c:pt>
                <c:pt idx="5">
                  <c:v>CSR Site</c:v>
                </c:pt>
                <c:pt idx="6">
                  <c:v>D</c:v>
                </c:pt>
                <c:pt idx="7">
                  <c:v>E</c:v>
                </c:pt>
                <c:pt idx="8">
                  <c:v>F</c:v>
                </c:pt>
              </c:strCache>
            </c:strRef>
          </c:cat>
          <c:val>
            <c:numRef>
              <c:f>'Peta Kemampuan QCC'!$H$7:$H$15</c:f>
              <c:numCache>
                <c:formatCode>0.0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326-473B-A742-D7D8501D7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2256"/>
        <c:axId val="145233792"/>
      </c:radarChart>
      <c:catAx>
        <c:axId val="14523225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5233792"/>
        <c:crosses val="autoZero"/>
        <c:auto val="1"/>
        <c:lblAlgn val="ctr"/>
        <c:lblOffset val="100"/>
        <c:noMultiLvlLbl val="0"/>
      </c:catAx>
      <c:valAx>
        <c:axId val="145233792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crossAx val="14523225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6365972658325678"/>
          <c:y val="0.91368308458866221"/>
          <c:w val="0.31889699370400787"/>
          <c:h val="7.403442192976347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Peta</a:t>
            </a:r>
            <a:r>
              <a:rPr lang="en-US" sz="1400" baseline="0"/>
              <a:t> Kemampuan Anggota Sebelum QCP</a:t>
            </a:r>
            <a:endParaRPr lang="en-US" sz="14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1420956423869467"/>
          <c:y val="0.26003424913667933"/>
          <c:w val="0.56719490509562964"/>
          <c:h val="0.52945896422151562"/>
        </c:manualLayout>
      </c:layout>
      <c:radarChart>
        <c:radarStyle val="marker"/>
        <c:varyColors val="0"/>
        <c:ser>
          <c:idx val="0"/>
          <c:order val="0"/>
          <c:tx>
            <c:strRef>
              <c:f>'Peta Kemampuan QCP'!$E$5</c:f>
              <c:strCache>
                <c:ptCount val="1"/>
                <c:pt idx="0">
                  <c:v>7 Alat*</c:v>
                </c:pt>
              </c:strCache>
            </c:strRef>
          </c:tx>
          <c:cat>
            <c:strRef>
              <c:f>'Peta Kemampuan QCP'!$B$7:$B$14</c:f>
              <c:strCache>
                <c:ptCount val="8"/>
                <c:pt idx="0">
                  <c:v>Aulia</c:v>
                </c:pt>
                <c:pt idx="1">
                  <c:v>Rohmad Fajar Hidayatullah</c:v>
                </c:pt>
                <c:pt idx="2">
                  <c:v>Mitra</c:v>
                </c:pt>
                <c:pt idx="3">
                  <c:v>Anugrah Sandi</c:v>
                </c:pt>
                <c:pt idx="4">
                  <c:v>Riko Irvansyah</c:v>
                </c:pt>
                <c:pt idx="5">
                  <c:v>Yusuf</c:v>
                </c:pt>
                <c:pt idx="6">
                  <c:v>#REF!</c:v>
                </c:pt>
                <c:pt idx="7">
                  <c:v>Mitha</c:v>
                </c:pt>
              </c:strCache>
            </c:strRef>
          </c:cat>
          <c:val>
            <c:numRef>
              <c:f>'Peta Kemampuan QCP'!$E$7:$E$14</c:f>
              <c:numCache>
                <c:formatCode>General</c:formatCode>
                <c:ptCount val="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F1-444A-B3DB-87F55BA271CF}"/>
            </c:ext>
          </c:extLst>
        </c:ser>
        <c:ser>
          <c:idx val="1"/>
          <c:order val="1"/>
          <c:tx>
            <c:strRef>
              <c:f>'Peta Kemampuan QCP'!$F$5</c:f>
              <c:strCache>
                <c:ptCount val="1"/>
                <c:pt idx="0">
                  <c:v>8 Langkah*</c:v>
                </c:pt>
              </c:strCache>
            </c:strRef>
          </c:tx>
          <c:cat>
            <c:strRef>
              <c:f>'Peta Kemampuan QCP'!$B$7:$B$14</c:f>
              <c:strCache>
                <c:ptCount val="8"/>
                <c:pt idx="0">
                  <c:v>Aulia</c:v>
                </c:pt>
                <c:pt idx="1">
                  <c:v>Rohmad Fajar Hidayatullah</c:v>
                </c:pt>
                <c:pt idx="2">
                  <c:v>Mitra</c:v>
                </c:pt>
                <c:pt idx="3">
                  <c:v>Anugrah Sandi</c:v>
                </c:pt>
                <c:pt idx="4">
                  <c:v>Riko Irvansyah</c:v>
                </c:pt>
                <c:pt idx="5">
                  <c:v>Yusuf</c:v>
                </c:pt>
                <c:pt idx="6">
                  <c:v>#REF!</c:v>
                </c:pt>
                <c:pt idx="7">
                  <c:v>Mitha</c:v>
                </c:pt>
              </c:strCache>
            </c:strRef>
          </c:cat>
          <c:val>
            <c:numRef>
              <c:f>'Peta Kemampuan QCP'!$F$7:$F$14</c:f>
              <c:numCache>
                <c:formatCode>General</c:formatCode>
                <c:ptCount val="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F1-444A-B3DB-87F55BA271CF}"/>
            </c:ext>
          </c:extLst>
        </c:ser>
        <c:ser>
          <c:idx val="2"/>
          <c:order val="2"/>
          <c:tx>
            <c:strRef>
              <c:f>'Peta Kemampuan QCP'!$G$5</c:f>
              <c:strCache>
                <c:ptCount val="1"/>
                <c:pt idx="0">
                  <c:v>Pemahaman*</c:v>
                </c:pt>
              </c:strCache>
            </c:strRef>
          </c:tx>
          <c:cat>
            <c:strRef>
              <c:f>'Peta Kemampuan QCP'!$B$7:$B$14</c:f>
              <c:strCache>
                <c:ptCount val="8"/>
                <c:pt idx="0">
                  <c:v>Aulia</c:v>
                </c:pt>
                <c:pt idx="1">
                  <c:v>Rohmad Fajar Hidayatullah</c:v>
                </c:pt>
                <c:pt idx="2">
                  <c:v>Mitra</c:v>
                </c:pt>
                <c:pt idx="3">
                  <c:v>Anugrah Sandi</c:v>
                </c:pt>
                <c:pt idx="4">
                  <c:v>Riko Irvansyah</c:v>
                </c:pt>
                <c:pt idx="5">
                  <c:v>Yusuf</c:v>
                </c:pt>
                <c:pt idx="6">
                  <c:v>#REF!</c:v>
                </c:pt>
                <c:pt idx="7">
                  <c:v>Mitha</c:v>
                </c:pt>
              </c:strCache>
            </c:strRef>
          </c:cat>
          <c:val>
            <c:numRef>
              <c:f>'Peta Kemampuan QCP'!$G$7:$G$14</c:f>
              <c:numCache>
                <c:formatCode>General</c:formatCode>
                <c:ptCount val="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EF1-444A-B3DB-87F55BA27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3728"/>
        <c:axId val="145355520"/>
      </c:radarChart>
      <c:catAx>
        <c:axId val="14535372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5355520"/>
        <c:crosses val="autoZero"/>
        <c:auto val="1"/>
        <c:lblAlgn val="ctr"/>
        <c:lblOffset val="100"/>
        <c:noMultiLvlLbl val="0"/>
      </c:catAx>
      <c:valAx>
        <c:axId val="145355520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14535372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5.0000017267584358E-2"/>
          <c:y val="0.92187141357637836"/>
          <c:w val="0.8999999654648313"/>
          <c:h val="7.403442192976347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Peta</a:t>
            </a:r>
            <a:r>
              <a:rPr lang="en-US" sz="1400" baseline="0"/>
              <a:t> Kemampuan Anggota Sebelum QCP</a:t>
            </a:r>
            <a:endParaRPr lang="en-US" sz="14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4041479477641983"/>
          <c:y val="0.31325838755683472"/>
          <c:w val="0.50028790879667651"/>
          <c:h val="0.5007998127645088"/>
        </c:manualLayout>
      </c:layout>
      <c:radarChart>
        <c:radarStyle val="marker"/>
        <c:varyColors val="0"/>
        <c:ser>
          <c:idx val="2"/>
          <c:order val="0"/>
          <c:tx>
            <c:strRef>
              <c:f>'Peta Kemampuan QCP'!$H$5:$H$6</c:f>
              <c:strCache>
                <c:ptCount val="1"/>
                <c:pt idx="0">
                  <c:v>Total Nilai</c:v>
                </c:pt>
              </c:strCache>
            </c:strRef>
          </c:tx>
          <c:cat>
            <c:strRef>
              <c:f>'Peta Kemampuan QCP'!$B$7:$B$14</c:f>
              <c:strCache>
                <c:ptCount val="8"/>
                <c:pt idx="0">
                  <c:v>Aulia</c:v>
                </c:pt>
                <c:pt idx="1">
                  <c:v>Rohmad Fajar Hidayatullah</c:v>
                </c:pt>
                <c:pt idx="2">
                  <c:v>Mitra</c:v>
                </c:pt>
                <c:pt idx="3">
                  <c:v>Anugrah Sandi</c:v>
                </c:pt>
                <c:pt idx="4">
                  <c:v>Riko Irvansyah</c:v>
                </c:pt>
                <c:pt idx="5">
                  <c:v>Yusuf</c:v>
                </c:pt>
                <c:pt idx="6">
                  <c:v>#REF!</c:v>
                </c:pt>
                <c:pt idx="7">
                  <c:v>Mitha</c:v>
                </c:pt>
              </c:strCache>
            </c:strRef>
          </c:cat>
          <c:val>
            <c:numRef>
              <c:f>'Peta Kemampuan QCP'!$H$7:$H$14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870-4137-9835-FA26970C2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9152"/>
        <c:axId val="145410688"/>
      </c:radarChart>
      <c:catAx>
        <c:axId val="14540915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5410688"/>
        <c:crosses val="autoZero"/>
        <c:auto val="1"/>
        <c:lblAlgn val="ctr"/>
        <c:lblOffset val="100"/>
        <c:noMultiLvlLbl val="0"/>
      </c:catAx>
      <c:valAx>
        <c:axId val="145410688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crossAx val="14540915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6365972658325678"/>
          <c:y val="0.91368308458866221"/>
          <c:w val="0.31889699370400787"/>
          <c:h val="7.403442192976347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Grafik Perbandingan Actual &amp; Standard 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'Step 1A(pilih salah satu)'!$D$6:$H$6</c:f>
              <c:strCache>
                <c:ptCount val="1"/>
                <c:pt idx="0">
                  <c:v>Pencapaian per bulan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solidFill>
                  <a:sysClr val="windowText" lastClr="00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869-4EDA-9492-1334FE923698}"/>
              </c:ext>
            </c:extLst>
          </c:dPt>
          <c:cat>
            <c:strRef>
              <c:f>'Step 1A(pilih salah satu)'!$D$7:$H$7</c:f>
              <c:strCache>
                <c:ptCount val="5"/>
                <c:pt idx="0">
                  <c:v>Juli</c:v>
                </c:pt>
                <c:pt idx="1">
                  <c:v>Aug</c:v>
                </c:pt>
                <c:pt idx="2">
                  <c:v>Sept</c:v>
                </c:pt>
                <c:pt idx="3">
                  <c:v>Okt</c:v>
                </c:pt>
                <c:pt idx="4">
                  <c:v>Rata-rata</c:v>
                </c:pt>
              </c:strCache>
            </c:strRef>
          </c:cat>
          <c:val>
            <c:numRef>
              <c:f>'Step 1A(pilih salah satu)'!$D$8:$H$8</c:f>
              <c:numCache>
                <c:formatCode>General</c:formatCode>
                <c:ptCount val="5"/>
                <c:pt idx="0">
                  <c:v>261</c:v>
                </c:pt>
                <c:pt idx="1">
                  <c:v>351</c:v>
                </c:pt>
                <c:pt idx="2">
                  <c:v>443</c:v>
                </c:pt>
                <c:pt idx="3">
                  <c:v>543</c:v>
                </c:pt>
                <c:pt idx="4" formatCode="0.00">
                  <c:v>399.5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869-4EDA-9492-1334FE923698}"/>
            </c:ext>
          </c:extLst>
        </c:ser>
        <c:ser>
          <c:idx val="1"/>
          <c:order val="1"/>
          <c:tx>
            <c:strRef>
              <c:f>'Step 1A(pilih salah satu)'!$C$9</c:f>
              <c:strCache>
                <c:ptCount val="1"/>
                <c:pt idx="0">
                  <c:v>Standard (Nilai/Angka)</c:v>
                </c:pt>
              </c:strCache>
            </c:strRef>
          </c:tx>
          <c:invertIfNegative val="0"/>
          <c:cat>
            <c:strRef>
              <c:f>'Step 1A(pilih salah satu)'!$D$7:$H$7</c:f>
              <c:strCache>
                <c:ptCount val="5"/>
                <c:pt idx="0">
                  <c:v>Juli</c:v>
                </c:pt>
                <c:pt idx="1">
                  <c:v>Aug</c:v>
                </c:pt>
                <c:pt idx="2">
                  <c:v>Sept</c:v>
                </c:pt>
                <c:pt idx="3">
                  <c:v>Okt</c:v>
                </c:pt>
                <c:pt idx="4">
                  <c:v>Rata-rata</c:v>
                </c:pt>
              </c:strCache>
            </c:strRef>
          </c:cat>
          <c:val>
            <c:numRef>
              <c:f>'Step 1A(pilih salah satu)'!$D$9:$H$9</c:f>
              <c:numCache>
                <c:formatCode>General</c:formatCode>
                <c:ptCount val="5"/>
                <c:pt idx="0">
                  <c:v>183.33333333333334</c:v>
                </c:pt>
                <c:pt idx="1">
                  <c:v>367.33333333333337</c:v>
                </c:pt>
                <c:pt idx="2">
                  <c:v>551.33333333333337</c:v>
                </c:pt>
                <c:pt idx="3">
                  <c:v>735.33333333333337</c:v>
                </c:pt>
                <c:pt idx="4" formatCode="0.00">
                  <c:v>459.33333333333337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869-4EDA-9492-1334FE923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501184"/>
        <c:axId val="145511168"/>
      </c:barChart>
      <c:catAx>
        <c:axId val="14550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511168"/>
        <c:crosses val="autoZero"/>
        <c:auto val="1"/>
        <c:lblAlgn val="ctr"/>
        <c:lblOffset val="100"/>
        <c:noMultiLvlLbl val="0"/>
      </c:catAx>
      <c:valAx>
        <c:axId val="14551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550118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>
                <a:solidFill>
                  <a:sysClr val="windowText" lastClr="00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B71-432F-9039-DAA78A3472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'Step 1A(pilih salah satu)'!$I$8:$I$9</c:f>
              <c:strCache>
                <c:ptCount val="2"/>
                <c:pt idx="0">
                  <c:v>Kondisi Actual  (WAH)</c:v>
                </c:pt>
                <c:pt idx="1">
                  <c:v>Kondisi Seharusnya (WSBH)</c:v>
                </c:pt>
              </c:strCache>
            </c:strRef>
          </c:cat>
          <c:val>
            <c:numRef>
              <c:f>'Step 1A(pilih salah satu)'!$H$8:$H$9</c:f>
              <c:numCache>
                <c:formatCode>0.00</c:formatCode>
                <c:ptCount val="2"/>
                <c:pt idx="0">
                  <c:v>399.5</c:v>
                </c:pt>
                <c:pt idx="1">
                  <c:v>459.33333333333337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B71-432F-9039-DAA78A347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537280"/>
        <c:axId val="145555456"/>
      </c:barChart>
      <c:catAx>
        <c:axId val="145537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145555456"/>
        <c:crosses val="autoZero"/>
        <c:auto val="1"/>
        <c:lblAlgn val="ctr"/>
        <c:lblOffset val="100"/>
        <c:noMultiLvlLbl val="0"/>
      </c:catAx>
      <c:valAx>
        <c:axId val="1455554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5537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Trend GAP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1A(pilih salah satu)'!$C$11</c:f>
              <c:strCache>
                <c:ptCount val="1"/>
                <c:pt idx="0">
                  <c:v>GAP</c:v>
                </c:pt>
              </c:strCache>
            </c:strRef>
          </c:tx>
          <c:cat>
            <c:strRef>
              <c:f>'Step 1A(pilih salah satu)'!$D$7:$G$7</c:f>
              <c:strCache>
                <c:ptCount val="4"/>
                <c:pt idx="0">
                  <c:v>Juli</c:v>
                </c:pt>
                <c:pt idx="1">
                  <c:v>Aug</c:v>
                </c:pt>
                <c:pt idx="2">
                  <c:v>Sept</c:v>
                </c:pt>
                <c:pt idx="3">
                  <c:v>Okt</c:v>
                </c:pt>
              </c:strCache>
            </c:strRef>
          </c:cat>
          <c:val>
            <c:numRef>
              <c:f>'Step 1A(pilih salah satu)'!$D$11:$G$11</c:f>
              <c:numCache>
                <c:formatCode>0.0</c:formatCode>
                <c:ptCount val="4"/>
                <c:pt idx="0">
                  <c:v>0</c:v>
                </c:pt>
                <c:pt idx="1">
                  <c:v>16.333333333333371</c:v>
                </c:pt>
                <c:pt idx="2">
                  <c:v>108.33333333333337</c:v>
                </c:pt>
                <c:pt idx="3">
                  <c:v>192.33333333333337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421-465A-82AE-80DF0DDBF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60320"/>
        <c:axId val="174761856"/>
      </c:lineChart>
      <c:catAx>
        <c:axId val="17476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174761856"/>
        <c:crosses val="autoZero"/>
        <c:auto val="1"/>
        <c:lblAlgn val="ctr"/>
        <c:lblOffset val="100"/>
        <c:noMultiLvlLbl val="0"/>
      </c:catAx>
      <c:valAx>
        <c:axId val="1747618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74760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Grafik</a:t>
            </a:r>
            <a:r>
              <a:rPr lang="en-US" sz="1200" baseline="0"/>
              <a:t> Perbandingan GAP (Standard vs Actual)</a:t>
            </a:r>
            <a:endParaRPr lang="en-US" sz="12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'Step 1B(pilih satu)'!$C$9:$D$11</c:f>
              <c:strCache>
                <c:ptCount val="3"/>
                <c:pt idx="0">
                  <c:v>AAPA &amp; YWA</c:v>
                </c:pt>
                <c:pt idx="1">
                  <c:v>NPN</c:v>
                </c:pt>
                <c:pt idx="2">
                  <c:v>SLE</c:v>
                </c:pt>
              </c:strCache>
            </c:strRef>
          </c:cat>
          <c:val>
            <c:numRef>
              <c:f>'Step 1B(pilih satu)'!$M$9:$M$11</c:f>
              <c:numCache>
                <c:formatCode>0.00;[Red]0.00</c:formatCode>
                <c:ptCount val="3"/>
                <c:pt idx="0">
                  <c:v>50.636363636363633</c:v>
                </c:pt>
                <c:pt idx="1">
                  <c:v>29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BB-4502-A096-77750681F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77363200"/>
        <c:axId val="177369088"/>
      </c:barChart>
      <c:catAx>
        <c:axId val="17736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177369088"/>
        <c:crosses val="autoZero"/>
        <c:auto val="1"/>
        <c:lblAlgn val="ctr"/>
        <c:lblOffset val="100"/>
        <c:noMultiLvlLbl val="0"/>
      </c:catAx>
      <c:valAx>
        <c:axId val="177369088"/>
        <c:scaling>
          <c:orientation val="minMax"/>
        </c:scaling>
        <c:delete val="0"/>
        <c:axPos val="l"/>
        <c:majorGridlines/>
        <c:numFmt formatCode="0.00;[Red]0.00" sourceLinked="1"/>
        <c:majorTickMark val="none"/>
        <c:minorTickMark val="none"/>
        <c:tickLblPos val="nextTo"/>
        <c:spPr>
          <a:ln w="9525">
            <a:noFill/>
          </a:ln>
        </c:spPr>
        <c:crossAx val="177363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Pareto</a:t>
            </a:r>
            <a:r>
              <a:rPr lang="en-US" baseline="0"/>
              <a:t> Masalah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B30-4AAD-B037-DD908AB17CB5}"/>
              </c:ext>
            </c:extLst>
          </c:dPt>
          <c:cat>
            <c:numRef>
              <c:f>'Step 1B(pilih satu)'!$C$17:$C$19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'Step 1B(pilih satu)'!$B$17:$B$19</c:f>
              <c:numCache>
                <c:formatCode>General</c:formatCode>
                <c:ptCount val="3"/>
                <c:pt idx="0">
                  <c:v>50.636363636363633</c:v>
                </c:pt>
                <c:pt idx="1">
                  <c:v>29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30-4AAD-B037-DD908AB17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7413120"/>
        <c:axId val="177419008"/>
      </c:barChart>
      <c:lineChart>
        <c:grouping val="standard"/>
        <c:varyColors val="0"/>
        <c:ser>
          <c:idx val="1"/>
          <c:order val="1"/>
          <c:cat>
            <c:numRef>
              <c:f>'Step 1B(pilih satu)'!$C$17:$C$19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'Step 1B(pilih satu)'!$F$17:$F$20</c:f>
              <c:numCache>
                <c:formatCode>0%</c:formatCode>
                <c:ptCount val="4"/>
                <c:pt idx="0">
                  <c:v>0.63584474885844755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B30-4AAD-B037-DD908AB17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26432"/>
        <c:axId val="177420544"/>
      </c:lineChart>
      <c:catAx>
        <c:axId val="17741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7419008"/>
        <c:crosses val="autoZero"/>
        <c:auto val="1"/>
        <c:lblAlgn val="ctr"/>
        <c:lblOffset val="100"/>
        <c:noMultiLvlLbl val="0"/>
      </c:catAx>
      <c:valAx>
        <c:axId val="177419008"/>
        <c:scaling>
          <c:orientation val="minMax"/>
          <c:max val="9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13120"/>
        <c:crosses val="autoZero"/>
        <c:crossBetween val="between"/>
      </c:valAx>
      <c:valAx>
        <c:axId val="177420544"/>
        <c:scaling>
          <c:orientation val="minMax"/>
          <c:max val="1"/>
          <c:min val="0"/>
        </c:scaling>
        <c:delete val="0"/>
        <c:axPos val="r"/>
        <c:numFmt formatCode="0%" sourceLinked="1"/>
        <c:majorTickMark val="out"/>
        <c:minorTickMark val="none"/>
        <c:tickLblPos val="nextTo"/>
        <c:crossAx val="177426432"/>
        <c:crosses val="max"/>
        <c:crossBetween val="between"/>
      </c:valAx>
      <c:catAx>
        <c:axId val="177426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420544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'Step 3'!$D$9</c:f>
              <c:strCache>
                <c:ptCount val="1"/>
                <c:pt idx="0">
                  <c:v>GRAFIK TARGET PENURUNAN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2F2-4910-8822-E0A14AF4E9B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cat>
            <c:strRef>
              <c:f>'Step 3'!$B$9:$C$9</c:f>
              <c:strCache>
                <c:ptCount val="2"/>
                <c:pt idx="0">
                  <c:v>Kondisi Saat ini</c:v>
                </c:pt>
                <c:pt idx="1">
                  <c:v>Target s.d bulanSept2025-2026</c:v>
                </c:pt>
              </c:strCache>
            </c:strRef>
          </c:cat>
          <c:val>
            <c:numRef>
              <c:f>('Step 3'!$B$8,'Step 3'!$D$8)</c:f>
              <c:numCache>
                <c:formatCode>General</c:formatCode>
                <c:ptCount val="2"/>
                <c:pt idx="0" formatCode="0.00">
                  <c:v>20</c:v>
                </c:pt>
                <c:pt idx="1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2F2-4910-8822-E0A14AF4E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549312"/>
        <c:axId val="177550848"/>
      </c:barChart>
      <c:catAx>
        <c:axId val="1775493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7550848"/>
        <c:crosses val="autoZero"/>
        <c:auto val="1"/>
        <c:lblAlgn val="ctr"/>
        <c:lblOffset val="100"/>
        <c:noMultiLvlLbl val="0"/>
      </c:catAx>
      <c:valAx>
        <c:axId val="17755084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75493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Grafik</a:t>
            </a:r>
            <a:r>
              <a:rPr lang="en-US" baseline="0"/>
              <a:t> Evaluasi Hasil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'Step 7'!$G$9</c:f>
              <c:strCache>
                <c:ptCount val="1"/>
                <c:pt idx="0">
                  <c:v>Tuliskan angka/nilainya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186-47AD-8C46-94C65B3133C1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186-47AD-8C46-94C65B3133C1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186-47AD-8C46-94C65B3133C1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186-47AD-8C46-94C65B3133C1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186-47AD-8C46-94C65B3133C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7186-47AD-8C46-94C65B3133C1}"/>
              </c:ext>
            </c:extLst>
          </c:dPt>
          <c:cat>
            <c:strRef>
              <c:f>'Step 7'!$B$5:$G$6</c:f>
              <c:strCache>
                <c:ptCount val="6"/>
                <c:pt idx="0">
                  <c:v>Kondisi Sebelum </c:v>
                </c:pt>
                <c:pt idx="1">
                  <c:v>Selama QCC/QCP</c:v>
                </c:pt>
                <c:pt idx="5">
                  <c:v>Setelah QCC/QCP</c:v>
                </c:pt>
              </c:strCache>
            </c:strRef>
          </c:cat>
          <c:val>
            <c:numRef>
              <c:f>'Step 7'!$B$8:$G$8</c:f>
              <c:numCache>
                <c:formatCode>General</c:formatCode>
                <c:ptCount val="6"/>
                <c:pt idx="0" formatCode="0.00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186-47AD-8C46-94C65B3133C1}"/>
            </c:ext>
          </c:extLst>
        </c:ser>
        <c:ser>
          <c:idx val="0"/>
          <c:order val="0"/>
          <c:tx>
            <c:strRef>
              <c:f>'Step 7'!$G$9</c:f>
              <c:strCache>
                <c:ptCount val="1"/>
                <c:pt idx="0">
                  <c:v>Tuliskan angka/nilainya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7186-47AD-8C46-94C65B3133C1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7186-47AD-8C46-94C65B3133C1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7186-47AD-8C46-94C65B3133C1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7186-47AD-8C46-94C65B3133C1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7186-47AD-8C46-94C65B3133C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7186-47AD-8C46-94C65B3133C1}"/>
              </c:ext>
            </c:extLst>
          </c:dPt>
          <c:trendline>
            <c:trendlineType val="linear"/>
            <c:dispRSqr val="0"/>
            <c:dispEq val="0"/>
          </c:trendline>
          <c:cat>
            <c:strRef>
              <c:f>'Step 7'!$B$5:$G$6</c:f>
              <c:strCache>
                <c:ptCount val="6"/>
                <c:pt idx="0">
                  <c:v>Kondisi Sebelum </c:v>
                </c:pt>
                <c:pt idx="1">
                  <c:v>Selama QCC/QCP</c:v>
                </c:pt>
                <c:pt idx="5">
                  <c:v>Setelah QCC/QCP</c:v>
                </c:pt>
              </c:strCache>
            </c:strRef>
          </c:cat>
          <c:val>
            <c:numRef>
              <c:f>'Step 7'!$B$8:$G$8</c:f>
              <c:numCache>
                <c:formatCode>General</c:formatCode>
                <c:ptCount val="6"/>
                <c:pt idx="0" formatCode="0.00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A-7186-47AD-8C46-94C65B313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7608320"/>
        <c:axId val="237618304"/>
      </c:barChart>
      <c:catAx>
        <c:axId val="23760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7618304"/>
        <c:crosses val="autoZero"/>
        <c:auto val="1"/>
        <c:lblAlgn val="ctr"/>
        <c:lblOffset val="100"/>
        <c:noMultiLvlLbl val="0"/>
      </c:catAx>
      <c:valAx>
        <c:axId val="2376183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37608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Peta</a:t>
            </a:r>
            <a:r>
              <a:rPr lang="en-US" sz="1400" baseline="0"/>
              <a:t> Kemampuan Anggota Sesudah QCC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2149599439966622"/>
          <c:y val="0.19841519667946994"/>
          <c:w val="0.52652324540041162"/>
          <c:h val="0.64749933783151692"/>
        </c:manualLayout>
      </c:layout>
      <c:radarChart>
        <c:radarStyle val="marker"/>
        <c:varyColors val="0"/>
        <c:ser>
          <c:idx val="0"/>
          <c:order val="0"/>
          <c:tx>
            <c:strRef>
              <c:f>'Step 7b'!$E$4:$H$4</c:f>
              <c:strCache>
                <c:ptCount val="1"/>
                <c:pt idx="0">
                  <c:v>Sebelum</c:v>
                </c:pt>
              </c:strCache>
            </c:strRef>
          </c:tx>
          <c:cat>
            <c:strRef>
              <c:f>'Step 7b'!$B$7:$B$16</c:f>
              <c:strCache>
                <c:ptCount val="10"/>
                <c:pt idx="0">
                  <c:v>Aulia</c:v>
                </c:pt>
                <c:pt idx="1">
                  <c:v>b</c:v>
                </c:pt>
                <c:pt idx="2">
                  <c:v>Mitra</c:v>
                </c:pt>
                <c:pt idx="3">
                  <c:v>Anugrah Sandi </c:v>
                </c:pt>
                <c:pt idx="4">
                  <c:v>Site Mill</c:v>
                </c:pt>
                <c:pt idx="5">
                  <c:v>CSR Site</c:v>
                </c:pt>
                <c:pt idx="6">
                  <c:v>D</c:v>
                </c:pt>
                <c:pt idx="7">
                  <c:v>E</c:v>
                </c:pt>
                <c:pt idx="8">
                  <c:v>F</c:v>
                </c:pt>
                <c:pt idx="9">
                  <c:v>0</c:v>
                </c:pt>
              </c:strCache>
            </c:strRef>
          </c:cat>
          <c:val>
            <c:numRef>
              <c:f>'Step 7b'!$H$7:$H$16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555-4374-B612-E65ACC675D2E}"/>
            </c:ext>
          </c:extLst>
        </c:ser>
        <c:ser>
          <c:idx val="1"/>
          <c:order val="1"/>
          <c:tx>
            <c:strRef>
              <c:f>'Step 7b'!$I$4:$L$4</c:f>
              <c:strCache>
                <c:ptCount val="1"/>
                <c:pt idx="0">
                  <c:v>Sesudah</c:v>
                </c:pt>
              </c:strCache>
            </c:strRef>
          </c:tx>
          <c:cat>
            <c:strRef>
              <c:f>'Step 7b'!$B$7:$B$16</c:f>
              <c:strCache>
                <c:ptCount val="10"/>
                <c:pt idx="0">
                  <c:v>Aulia</c:v>
                </c:pt>
                <c:pt idx="1">
                  <c:v>b</c:v>
                </c:pt>
                <c:pt idx="2">
                  <c:v>Mitra</c:v>
                </c:pt>
                <c:pt idx="3">
                  <c:v>Anugrah Sandi </c:v>
                </c:pt>
                <c:pt idx="4">
                  <c:v>Site Mill</c:v>
                </c:pt>
                <c:pt idx="5">
                  <c:v>CSR Site</c:v>
                </c:pt>
                <c:pt idx="6">
                  <c:v>D</c:v>
                </c:pt>
                <c:pt idx="7">
                  <c:v>E</c:v>
                </c:pt>
                <c:pt idx="8">
                  <c:v>F</c:v>
                </c:pt>
                <c:pt idx="9">
                  <c:v>0</c:v>
                </c:pt>
              </c:strCache>
            </c:strRef>
          </c:cat>
          <c:val>
            <c:numRef>
              <c:f>'Step 7b'!$L$7:$L$16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555-4374-B612-E65ACC675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05024"/>
        <c:axId val="234306560"/>
      </c:radarChart>
      <c:catAx>
        <c:axId val="23430502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34306560"/>
        <c:crosses val="autoZero"/>
        <c:auto val="1"/>
        <c:lblAlgn val="ctr"/>
        <c:lblOffset val="100"/>
        <c:noMultiLvlLbl val="0"/>
      </c:catAx>
      <c:valAx>
        <c:axId val="234306560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crossAx val="2343050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Peta</a:t>
            </a:r>
            <a:r>
              <a:rPr lang="en-US" sz="1400" baseline="0"/>
              <a:t> Kemampuan Anggota Sesudah QCP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2149599439966622"/>
          <c:y val="0.19841519667946994"/>
          <c:w val="0.52652324540041162"/>
          <c:h val="0.64749933783151692"/>
        </c:manualLayout>
      </c:layout>
      <c:radarChart>
        <c:radarStyle val="marker"/>
        <c:varyColors val="0"/>
        <c:ser>
          <c:idx val="0"/>
          <c:order val="0"/>
          <c:tx>
            <c:strRef>
              <c:f>'Step 7b (2)'!$E$4:$H$4</c:f>
              <c:strCache>
                <c:ptCount val="1"/>
                <c:pt idx="0">
                  <c:v>Sebelum</c:v>
                </c:pt>
              </c:strCache>
            </c:strRef>
          </c:tx>
          <c:cat>
            <c:strRef>
              <c:f>'Step 7b (2)'!$B$7:$B$16</c:f>
              <c:strCache>
                <c:ptCount val="10"/>
                <c:pt idx="0">
                  <c:v>Aulia</c:v>
                </c:pt>
                <c:pt idx="1">
                  <c:v>b</c:v>
                </c:pt>
                <c:pt idx="2">
                  <c:v>Mitra</c:v>
                </c:pt>
                <c:pt idx="3">
                  <c:v>Anugrah Sandi </c:v>
                </c:pt>
                <c:pt idx="4">
                  <c:v>Site Mill</c:v>
                </c:pt>
                <c:pt idx="5">
                  <c:v>CSR Site</c:v>
                </c:pt>
                <c:pt idx="6">
                  <c:v>D</c:v>
                </c:pt>
                <c:pt idx="7">
                  <c:v>E</c:v>
                </c:pt>
                <c:pt idx="8">
                  <c:v>F</c:v>
                </c:pt>
                <c:pt idx="9">
                  <c:v>0</c:v>
                </c:pt>
              </c:strCache>
            </c:strRef>
          </c:cat>
          <c:val>
            <c:numRef>
              <c:f>'Step 7b (2)'!$H$7:$H$16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15-452D-80FC-A5B7B912B534}"/>
            </c:ext>
          </c:extLst>
        </c:ser>
        <c:ser>
          <c:idx val="1"/>
          <c:order val="1"/>
          <c:tx>
            <c:strRef>
              <c:f>'Step 7b (2)'!$I$4:$L$4</c:f>
              <c:strCache>
                <c:ptCount val="1"/>
                <c:pt idx="0">
                  <c:v>Sesudah</c:v>
                </c:pt>
              </c:strCache>
            </c:strRef>
          </c:tx>
          <c:cat>
            <c:strRef>
              <c:f>'Step 7b (2)'!$B$7:$B$16</c:f>
              <c:strCache>
                <c:ptCount val="10"/>
                <c:pt idx="0">
                  <c:v>Aulia</c:v>
                </c:pt>
                <c:pt idx="1">
                  <c:v>b</c:v>
                </c:pt>
                <c:pt idx="2">
                  <c:v>Mitra</c:v>
                </c:pt>
                <c:pt idx="3">
                  <c:v>Anugrah Sandi </c:v>
                </c:pt>
                <c:pt idx="4">
                  <c:v>Site Mill</c:v>
                </c:pt>
                <c:pt idx="5">
                  <c:v>CSR Site</c:v>
                </c:pt>
                <c:pt idx="6">
                  <c:v>D</c:v>
                </c:pt>
                <c:pt idx="7">
                  <c:v>E</c:v>
                </c:pt>
                <c:pt idx="8">
                  <c:v>F</c:v>
                </c:pt>
                <c:pt idx="9">
                  <c:v>0</c:v>
                </c:pt>
              </c:strCache>
            </c:strRef>
          </c:cat>
          <c:val>
            <c:numRef>
              <c:f>'Step 7b (2)'!$L$7:$L$16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15-452D-80FC-A5B7B912B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71712"/>
        <c:axId val="234373504"/>
      </c:radarChart>
      <c:catAx>
        <c:axId val="2343717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34373504"/>
        <c:crosses val="autoZero"/>
        <c:auto val="1"/>
        <c:lblAlgn val="ctr"/>
        <c:lblOffset val="100"/>
        <c:noMultiLvlLbl val="0"/>
      </c:catAx>
      <c:valAx>
        <c:axId val="234373504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crossAx val="2343717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Contoh Kasu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hyperlink" Target="#'Step 1a (Co-3)'!A1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image" Target="../media/image6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Contoh Kasus'!AK1"/><Relationship Id="rId2" Type="http://schemas.openxmlformats.org/officeDocument/2006/relationships/image" Target="../media/image8.emf"/><Relationship Id="rId1" Type="http://schemas.openxmlformats.org/officeDocument/2006/relationships/chart" Target="../charts/chart10.xml"/><Relationship Id="rId4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hyperlink" Target="#'Contoh Kasus'!AK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Contoh Kasus'!BD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Contoh Kasus'!CB1"/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'Contoh Kasus'!CB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434852</xdr:colOff>
      <xdr:row>13</xdr:row>
      <xdr:rowOff>84670</xdr:rowOff>
    </xdr:from>
    <xdr:ext cx="2035364" cy="233205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06752" y="2363050"/>
          <a:ext cx="2035364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r>
            <a:rPr lang="en-US" sz="900" i="1"/>
            <a:t>(di</a:t>
          </a:r>
          <a:r>
            <a:rPr lang="en-US" sz="900" i="1" baseline="0"/>
            <a:t>isi </a:t>
          </a:r>
          <a:r>
            <a:rPr lang="en-US" sz="900" i="1"/>
            <a:t>pembentukan group pertama kali)</a:t>
          </a:r>
        </a:p>
      </xdr:txBody>
    </xdr:sp>
    <xdr:clientData/>
  </xdr:oneCellAnchor>
  <xdr:oneCellAnchor>
    <xdr:from>
      <xdr:col>2</xdr:col>
      <xdr:colOff>23962</xdr:colOff>
      <xdr:row>39</xdr:row>
      <xdr:rowOff>32812</xdr:rowOff>
    </xdr:from>
    <xdr:ext cx="3271728" cy="233205"/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380322" y="6425992"/>
          <a:ext cx="3271728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r>
            <a:rPr lang="en-US" sz="900" i="1"/>
            <a:t>(di</a:t>
          </a:r>
          <a:r>
            <a:rPr lang="en-US" sz="900" i="1" baseline="0"/>
            <a:t>isi jika group sudah pernah menyelesaikan diatas satu tema </a:t>
          </a:r>
          <a:r>
            <a:rPr lang="en-US" sz="900" i="1"/>
            <a:t>)</a:t>
          </a:r>
        </a:p>
      </xdr:txBody>
    </xdr:sp>
    <xdr:clientData/>
  </xdr:oneCellAnchor>
  <xdr:twoCellAnchor>
    <xdr:from>
      <xdr:col>14</xdr:col>
      <xdr:colOff>443793</xdr:colOff>
      <xdr:row>7</xdr:row>
      <xdr:rowOff>6066</xdr:rowOff>
    </xdr:from>
    <xdr:to>
      <xdr:col>16</xdr:col>
      <xdr:colOff>161245</xdr:colOff>
      <xdr:row>13</xdr:row>
      <xdr:rowOff>274319</xdr:rowOff>
    </xdr:to>
    <xdr:grpSp>
      <xdr:nvGrpSpPr>
        <xdr:cNvPr id="4" name="Group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276643" y="1339566"/>
          <a:ext cx="1000152" cy="1258853"/>
          <a:chOff x="8083594" y="1064394"/>
          <a:chExt cx="944033" cy="1242772"/>
        </a:xfrm>
      </xdr:grpSpPr>
      <xdr:grpSp>
        <xdr:nvGrpSpPr>
          <xdr:cNvPr id="5" name="Group 22">
            <a:extLst>
              <a:ext uri="{FF2B5EF4-FFF2-40B4-BE49-F238E27FC236}">
                <a16:creationId xmlns="" xmlns:a16="http://schemas.microsoft.com/office/drawing/2014/main" id="{00000000-0008-0000-0000-000005000000}"/>
              </a:ext>
            </a:extLst>
          </xdr:cNvPr>
          <xdr:cNvGrpSpPr>
            <a:grpSpLocks/>
          </xdr:cNvGrpSpPr>
        </xdr:nvGrpSpPr>
        <xdr:grpSpPr bwMode="auto">
          <a:xfrm>
            <a:off x="8085709" y="1064394"/>
            <a:ext cx="937683" cy="1084023"/>
            <a:chOff x="281" y="378"/>
            <a:chExt cx="89" cy="112"/>
          </a:xfrm>
        </xdr:grpSpPr>
        <xdr:sp macro="" textlink="">
          <xdr:nvSpPr>
            <xdr:cNvPr id="7" name="Rectangle 1">
              <a:extLst>
                <a:ext uri="{FF2B5EF4-FFF2-40B4-BE49-F238E27FC236}">
                  <a16:creationId xmlns="" xmlns:a16="http://schemas.microsoft.com/office/drawing/2014/main" id="{00000000-0008-0000-0000-00000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1" y="378"/>
              <a:ext cx="89" cy="96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" name="Text Box 5">
              <a:extLst>
                <a:ext uri="{FF2B5EF4-FFF2-40B4-BE49-F238E27FC236}">
                  <a16:creationId xmlns="" xmlns:a16="http://schemas.microsoft.com/office/drawing/2014/main" id="{00000000-0008-0000-0000-000008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81" y="474"/>
              <a:ext cx="89" cy="16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1">
                <a:defRPr sz="1000"/>
              </a:pPr>
              <a:endParaRPr lang="en-US" sz="800" b="0" i="0" strike="noStrike">
                <a:solidFill>
                  <a:srgbClr val="000000"/>
                </a:solidFill>
                <a:latin typeface="Trebuchet MS"/>
              </a:endParaRPr>
            </a:p>
          </xdr:txBody>
        </xdr:sp>
      </xdr:grpSp>
      <xdr:sp macro="" textlink="">
        <xdr:nvSpPr>
          <xdr:cNvPr id="6" name="Text Box 5">
            <a:extLst>
              <a:ext uri="{FF2B5EF4-FFF2-40B4-BE49-F238E27FC236}">
                <a16:creationId xmlns="" xmlns:a16="http://schemas.microsoft.com/office/drawing/2014/main" id="{00000000-0008-0000-0000-00000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83594" y="2148408"/>
            <a:ext cx="944033" cy="158758"/>
          </a:xfrm>
          <a:prstGeom prst="rect">
            <a:avLst/>
          </a:prstGeom>
          <a:solidFill>
            <a:srgbClr val="FFFFFF"/>
          </a:solidFill>
          <a:ln w="9525">
            <a:solidFill>
              <a:schemeClr val="bg1">
                <a:lumMod val="65000"/>
              </a:schemeClr>
            </a:solidFill>
            <a:miter lim="800000"/>
            <a:headEnd/>
            <a:tailEnd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27432" tIns="32004" rIns="27432" bIns="0" anchor="ctr" upright="1"/>
          <a:lstStyle/>
          <a:p>
            <a:pPr algn="ctr" rtl="1">
              <a:defRPr sz="1000"/>
            </a:pPr>
            <a:r>
              <a:rPr lang="en-US" sz="800" b="0" i="0" strike="noStrike">
                <a:ln>
                  <a:solidFill>
                    <a:schemeClr val="tx1"/>
                  </a:solidFill>
                </a:ln>
                <a:solidFill>
                  <a:srgbClr val="000000"/>
                </a:solidFill>
                <a:latin typeface="Trebuchet MS"/>
              </a:rPr>
              <a:t>FASILITATOR</a:t>
            </a:r>
          </a:p>
        </xdr:txBody>
      </xdr:sp>
    </xdr:grpSp>
    <xdr:clientData/>
  </xdr:twoCellAnchor>
  <xdr:twoCellAnchor>
    <xdr:from>
      <xdr:col>14</xdr:col>
      <xdr:colOff>459361</xdr:colOff>
      <xdr:row>14</xdr:row>
      <xdr:rowOff>0</xdr:rowOff>
    </xdr:from>
    <xdr:to>
      <xdr:col>16</xdr:col>
      <xdr:colOff>175727</xdr:colOff>
      <xdr:row>21</xdr:row>
      <xdr:rowOff>38101</xdr:rowOff>
    </xdr:to>
    <xdr:grpSp>
      <xdr:nvGrpSpPr>
        <xdr:cNvPr id="9" name="Group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292211" y="2603500"/>
          <a:ext cx="999066" cy="1079501"/>
          <a:chOff x="8083603" y="1064394"/>
          <a:chExt cx="944034" cy="1288788"/>
        </a:xfrm>
      </xdr:grpSpPr>
      <xdr:grpSp>
        <xdr:nvGrpSpPr>
          <xdr:cNvPr id="10" name="Group 22">
            <a:extLst>
              <a:ext uri="{FF2B5EF4-FFF2-40B4-BE49-F238E27FC236}">
                <a16:creationId xmlns="" xmlns:a16="http://schemas.microsoft.com/office/drawing/2014/main" id="{00000000-0008-0000-0000-00000A000000}"/>
              </a:ext>
            </a:extLst>
          </xdr:cNvPr>
          <xdr:cNvGrpSpPr>
            <a:grpSpLocks/>
          </xdr:cNvGrpSpPr>
        </xdr:nvGrpSpPr>
        <xdr:grpSpPr bwMode="auto">
          <a:xfrm>
            <a:off x="8085709" y="1064394"/>
            <a:ext cx="937683" cy="1084023"/>
            <a:chOff x="281" y="378"/>
            <a:chExt cx="89" cy="112"/>
          </a:xfrm>
        </xdr:grpSpPr>
        <xdr:sp macro="" textlink="">
          <xdr:nvSpPr>
            <xdr:cNvPr id="12" name="Rectangle 1">
              <a:extLst>
                <a:ext uri="{FF2B5EF4-FFF2-40B4-BE49-F238E27FC236}">
                  <a16:creationId xmlns="" xmlns:a16="http://schemas.microsoft.com/office/drawing/2014/main" id="{00000000-0008-0000-0000-00000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1" y="378"/>
              <a:ext cx="89" cy="96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" name="Text Box 5">
              <a:extLst>
                <a:ext uri="{FF2B5EF4-FFF2-40B4-BE49-F238E27FC236}">
                  <a16:creationId xmlns="" xmlns:a16="http://schemas.microsoft.com/office/drawing/2014/main" id="{00000000-0008-0000-0000-00000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81" y="474"/>
              <a:ext cx="89" cy="16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1">
                <a:defRPr sz="1000"/>
              </a:pPr>
              <a:endParaRPr lang="en-US" sz="800" b="0" i="0" strike="noStrike">
                <a:solidFill>
                  <a:srgbClr val="000000"/>
                </a:solidFill>
                <a:latin typeface="Trebuchet MS"/>
              </a:endParaRPr>
            </a:p>
          </xdr:txBody>
        </xdr:sp>
      </xdr:grpSp>
      <xdr:sp macro="" textlink="">
        <xdr:nvSpPr>
          <xdr:cNvPr id="11" name="Text Box 5">
            <a:extLst>
              <a:ext uri="{FF2B5EF4-FFF2-40B4-BE49-F238E27FC236}">
                <a16:creationId xmlns="" xmlns:a16="http://schemas.microsoft.com/office/drawing/2014/main" id="{00000000-0008-0000-0000-00000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83603" y="2148407"/>
            <a:ext cx="944034" cy="204775"/>
          </a:xfrm>
          <a:prstGeom prst="rect">
            <a:avLst/>
          </a:prstGeom>
          <a:solidFill>
            <a:srgbClr val="FFFFFF"/>
          </a:solidFill>
          <a:ln w="9525">
            <a:solidFill>
              <a:schemeClr val="bg1">
                <a:lumMod val="65000"/>
              </a:schemeClr>
            </a:solidFill>
            <a:miter lim="800000"/>
            <a:headEnd/>
            <a:tailEnd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27432" tIns="32004" rIns="27432" bIns="0" anchor="ctr" upright="1"/>
          <a:lstStyle/>
          <a:p>
            <a:pPr algn="ctr" rtl="1">
              <a:defRPr sz="1000"/>
            </a:pPr>
            <a:r>
              <a:rPr lang="en-US" sz="800" b="0" i="0" strike="noStrike">
                <a:ln>
                  <a:solidFill>
                    <a:schemeClr val="tx1"/>
                  </a:solidFill>
                </a:ln>
                <a:solidFill>
                  <a:srgbClr val="000000"/>
                </a:solidFill>
                <a:latin typeface="Trebuchet MS"/>
              </a:rPr>
              <a:t>CIRCLE LEADER</a:t>
            </a:r>
          </a:p>
        </xdr:txBody>
      </xdr:sp>
    </xdr:grpSp>
    <xdr:clientData/>
  </xdr:twoCellAnchor>
  <xdr:twoCellAnchor>
    <xdr:from>
      <xdr:col>16</xdr:col>
      <xdr:colOff>319636</xdr:colOff>
      <xdr:row>14</xdr:row>
      <xdr:rowOff>0</xdr:rowOff>
    </xdr:from>
    <xdr:to>
      <xdr:col>18</xdr:col>
      <xdr:colOff>36003</xdr:colOff>
      <xdr:row>21</xdr:row>
      <xdr:rowOff>186674</xdr:rowOff>
    </xdr:to>
    <xdr:grpSp>
      <xdr:nvGrpSpPr>
        <xdr:cNvPr id="14" name="Group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10435186" y="2603500"/>
          <a:ext cx="999067" cy="1228074"/>
          <a:chOff x="8083594" y="1064394"/>
          <a:chExt cx="944033" cy="1258861"/>
        </a:xfrm>
      </xdr:grpSpPr>
      <xdr:grpSp>
        <xdr:nvGrpSpPr>
          <xdr:cNvPr id="15" name="Group 22">
            <a:extLst>
              <a:ext uri="{FF2B5EF4-FFF2-40B4-BE49-F238E27FC236}">
                <a16:creationId xmlns="" xmlns:a16="http://schemas.microsoft.com/office/drawing/2014/main" id="{00000000-0008-0000-0000-00000F000000}"/>
              </a:ext>
            </a:extLst>
          </xdr:cNvPr>
          <xdr:cNvGrpSpPr>
            <a:grpSpLocks/>
          </xdr:cNvGrpSpPr>
        </xdr:nvGrpSpPr>
        <xdr:grpSpPr bwMode="auto">
          <a:xfrm>
            <a:off x="8085709" y="1064394"/>
            <a:ext cx="937683" cy="1084023"/>
            <a:chOff x="281" y="378"/>
            <a:chExt cx="89" cy="112"/>
          </a:xfrm>
        </xdr:grpSpPr>
        <xdr:sp macro="" textlink="">
          <xdr:nvSpPr>
            <xdr:cNvPr id="17" name="Rectangle 1">
              <a:extLst>
                <a:ext uri="{FF2B5EF4-FFF2-40B4-BE49-F238E27FC236}">
                  <a16:creationId xmlns="" xmlns:a16="http://schemas.microsoft.com/office/drawing/2014/main" id="{00000000-0008-0000-0000-00001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1" y="378"/>
              <a:ext cx="89" cy="96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" name="Text Box 5">
              <a:extLst>
                <a:ext uri="{FF2B5EF4-FFF2-40B4-BE49-F238E27FC236}">
                  <a16:creationId xmlns="" xmlns:a16="http://schemas.microsoft.com/office/drawing/2014/main" id="{00000000-0008-0000-0000-000012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81" y="474"/>
              <a:ext cx="89" cy="16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1">
                <a:defRPr sz="1000"/>
              </a:pPr>
              <a:endParaRPr lang="en-US" sz="800" b="0" i="0" strike="noStrike">
                <a:solidFill>
                  <a:srgbClr val="000000"/>
                </a:solidFill>
                <a:latin typeface="Trebuchet MS"/>
              </a:endParaRPr>
            </a:p>
          </xdr:txBody>
        </xdr:sp>
      </xdr:grpSp>
      <xdr:sp macro="" textlink="">
        <xdr:nvSpPr>
          <xdr:cNvPr id="16" name="Text Box 5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83594" y="2164497"/>
            <a:ext cx="944033" cy="158758"/>
          </a:xfrm>
          <a:prstGeom prst="rect">
            <a:avLst/>
          </a:prstGeom>
          <a:solidFill>
            <a:srgbClr val="FFFFFF"/>
          </a:solidFill>
          <a:ln w="9525">
            <a:solidFill>
              <a:schemeClr val="bg1">
                <a:lumMod val="65000"/>
              </a:schemeClr>
            </a:solidFill>
            <a:miter lim="800000"/>
            <a:headEnd/>
            <a:tailEnd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27432" tIns="32004" rIns="27432" bIns="0" anchor="ctr" upright="1"/>
          <a:lstStyle/>
          <a:p>
            <a:pPr algn="ctr" rtl="1">
              <a:defRPr sz="1000"/>
            </a:pPr>
            <a:r>
              <a:rPr lang="en-US" sz="800" b="0" i="0" strike="noStrike">
                <a:ln>
                  <a:solidFill>
                    <a:schemeClr val="tx1"/>
                  </a:solidFill>
                </a:ln>
                <a:solidFill>
                  <a:srgbClr val="000000"/>
                </a:solidFill>
                <a:latin typeface="Trebuchet MS"/>
              </a:rPr>
              <a:t>NOTULEN</a:t>
            </a:r>
          </a:p>
        </xdr:txBody>
      </xdr:sp>
    </xdr:grpSp>
    <xdr:clientData/>
  </xdr:twoCellAnchor>
  <xdr:twoCellAnchor>
    <xdr:from>
      <xdr:col>16</xdr:col>
      <xdr:colOff>334450</xdr:colOff>
      <xdr:row>23</xdr:row>
      <xdr:rowOff>170085</xdr:rowOff>
    </xdr:from>
    <xdr:to>
      <xdr:col>18</xdr:col>
      <xdr:colOff>44467</xdr:colOff>
      <xdr:row>30</xdr:row>
      <xdr:rowOff>3000</xdr:rowOff>
    </xdr:to>
    <xdr:grpSp>
      <xdr:nvGrpSpPr>
        <xdr:cNvPr id="19" name="Group 22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GrpSpPr>
          <a:grpSpLocks/>
        </xdr:cNvGrpSpPr>
      </xdr:nvGrpSpPr>
      <xdr:grpSpPr bwMode="auto">
        <a:xfrm>
          <a:off x="10450000" y="4145185"/>
          <a:ext cx="992717" cy="1102915"/>
          <a:chOff x="281" y="378"/>
          <a:chExt cx="89" cy="112"/>
        </a:xfrm>
      </xdr:grpSpPr>
      <xdr:sp macro="" textlink="">
        <xdr:nvSpPr>
          <xdr:cNvPr id="20" name="Rectangle 1">
            <a:extLst>
              <a:ext uri="{FF2B5EF4-FFF2-40B4-BE49-F238E27FC236}">
                <a16:creationId xmlns="" xmlns:a16="http://schemas.microsoft.com/office/drawing/2014/main" id="{00000000-0008-0000-00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281" y="378"/>
            <a:ext cx="89" cy="9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1" name="Text Box 5">
            <a:extLst>
              <a:ext uri="{FF2B5EF4-FFF2-40B4-BE49-F238E27FC236}">
                <a16:creationId xmlns="" xmlns:a16="http://schemas.microsoft.com/office/drawing/2014/main" id="{00000000-0008-0000-0000-00001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1" y="474"/>
            <a:ext cx="89" cy="16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32004" rIns="27432" bIns="0" anchor="t" upright="1"/>
          <a:lstStyle/>
          <a:p>
            <a:pPr algn="ctr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xdr:twoCellAnchor>
    <xdr:from>
      <xdr:col>12</xdr:col>
      <xdr:colOff>571522</xdr:colOff>
      <xdr:row>23</xdr:row>
      <xdr:rowOff>167973</xdr:rowOff>
    </xdr:from>
    <xdr:to>
      <xdr:col>14</xdr:col>
      <xdr:colOff>285772</xdr:colOff>
      <xdr:row>30</xdr:row>
      <xdr:rowOff>888</xdr:rowOff>
    </xdr:to>
    <xdr:grpSp>
      <xdr:nvGrpSpPr>
        <xdr:cNvPr id="22" name="Group 22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GrpSpPr>
          <a:grpSpLocks/>
        </xdr:cNvGrpSpPr>
      </xdr:nvGrpSpPr>
      <xdr:grpSpPr bwMode="auto">
        <a:xfrm>
          <a:off x="8121672" y="4143073"/>
          <a:ext cx="996950" cy="1102915"/>
          <a:chOff x="281" y="378"/>
          <a:chExt cx="89" cy="112"/>
        </a:xfrm>
      </xdr:grpSpPr>
      <xdr:sp macro="" textlink="">
        <xdr:nvSpPr>
          <xdr:cNvPr id="23" name="Rectangle 1">
            <a:extLst>
              <a:ext uri="{FF2B5EF4-FFF2-40B4-BE49-F238E27FC236}">
                <a16:creationId xmlns="" xmlns:a16="http://schemas.microsoft.com/office/drawing/2014/main" id="{00000000-0008-0000-00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81" y="378"/>
            <a:ext cx="89" cy="9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" name="Text Box 5">
            <a:extLst>
              <a:ext uri="{FF2B5EF4-FFF2-40B4-BE49-F238E27FC236}">
                <a16:creationId xmlns="" xmlns:a16="http://schemas.microsoft.com/office/drawing/2014/main" id="{00000000-0008-0000-0000-00001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1" y="474"/>
            <a:ext cx="89" cy="16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32004" rIns="27432" bIns="0" anchor="t" upright="1"/>
          <a:lstStyle/>
          <a:p>
            <a:pPr algn="ctr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xdr:twoCellAnchor>
    <xdr:from>
      <xdr:col>11</xdr:col>
      <xdr:colOff>173583</xdr:colOff>
      <xdr:row>23</xdr:row>
      <xdr:rowOff>167968</xdr:rowOff>
    </xdr:from>
    <xdr:to>
      <xdr:col>12</xdr:col>
      <xdr:colOff>497433</xdr:colOff>
      <xdr:row>30</xdr:row>
      <xdr:rowOff>883</xdr:rowOff>
    </xdr:to>
    <xdr:grpSp>
      <xdr:nvGrpSpPr>
        <xdr:cNvPr id="25" name="Group 22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GrpSpPr>
          <a:grpSpLocks/>
        </xdr:cNvGrpSpPr>
      </xdr:nvGrpSpPr>
      <xdr:grpSpPr bwMode="auto">
        <a:xfrm>
          <a:off x="7082383" y="4143068"/>
          <a:ext cx="965200" cy="1102915"/>
          <a:chOff x="281" y="378"/>
          <a:chExt cx="89" cy="112"/>
        </a:xfrm>
      </xdr:grpSpPr>
      <xdr:sp macro="" textlink="">
        <xdr:nvSpPr>
          <xdr:cNvPr id="26" name="Rectangle 1">
            <a:extLst>
              <a:ext uri="{FF2B5EF4-FFF2-40B4-BE49-F238E27FC236}">
                <a16:creationId xmlns="" xmlns:a16="http://schemas.microsoft.com/office/drawing/2014/main" id="{00000000-0008-0000-00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281" y="378"/>
            <a:ext cx="89" cy="9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" name="Text Box 5">
            <a:extLst>
              <a:ext uri="{FF2B5EF4-FFF2-40B4-BE49-F238E27FC236}">
                <a16:creationId xmlns="" xmlns:a16="http://schemas.microsoft.com/office/drawing/2014/main" id="{00000000-0008-0000-0000-00001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1" y="474"/>
            <a:ext cx="89" cy="16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32004" rIns="27432" bIns="0" anchor="t" upright="1"/>
          <a:lstStyle/>
          <a:p>
            <a:pPr algn="ctr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xdr:twoCellAnchor>
    <xdr:from>
      <xdr:col>18</xdr:col>
      <xdr:colOff>141812</xdr:colOff>
      <xdr:row>23</xdr:row>
      <xdr:rowOff>169333</xdr:rowOff>
    </xdr:from>
    <xdr:to>
      <xdr:col>19</xdr:col>
      <xdr:colOff>465661</xdr:colOff>
      <xdr:row>30</xdr:row>
      <xdr:rowOff>2248</xdr:rowOff>
    </xdr:to>
    <xdr:grpSp>
      <xdr:nvGrpSpPr>
        <xdr:cNvPr id="28" name="Group 22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GrpSpPr>
          <a:grpSpLocks/>
        </xdr:cNvGrpSpPr>
      </xdr:nvGrpSpPr>
      <xdr:grpSpPr bwMode="auto">
        <a:xfrm>
          <a:off x="11540062" y="4144433"/>
          <a:ext cx="965199" cy="1102915"/>
          <a:chOff x="281" y="378"/>
          <a:chExt cx="89" cy="112"/>
        </a:xfrm>
      </xdr:grpSpPr>
      <xdr:sp macro="" textlink="">
        <xdr:nvSpPr>
          <xdr:cNvPr id="29" name="Rectangle 1">
            <a:extLst>
              <a:ext uri="{FF2B5EF4-FFF2-40B4-BE49-F238E27FC236}">
                <a16:creationId xmlns="" xmlns:a16="http://schemas.microsoft.com/office/drawing/2014/main" id="{00000000-0008-0000-00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281" y="378"/>
            <a:ext cx="89" cy="9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0" name="Text Box 5">
            <a:extLst>
              <a:ext uri="{FF2B5EF4-FFF2-40B4-BE49-F238E27FC236}">
                <a16:creationId xmlns="" xmlns:a16="http://schemas.microsoft.com/office/drawing/2014/main" id="{00000000-0008-0000-0000-00001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1" y="474"/>
            <a:ext cx="89" cy="16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32004" rIns="27432" bIns="0" anchor="t" upright="1"/>
          <a:lstStyle/>
          <a:p>
            <a:pPr algn="ctr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xdr:twoCellAnchor>
    <xdr:from>
      <xdr:col>14</xdr:col>
      <xdr:colOff>457218</xdr:colOff>
      <xdr:row>21</xdr:row>
      <xdr:rowOff>178555</xdr:rowOff>
    </xdr:from>
    <xdr:to>
      <xdr:col>16</xdr:col>
      <xdr:colOff>173584</xdr:colOff>
      <xdr:row>23</xdr:row>
      <xdr:rowOff>921</xdr:rowOff>
    </xdr:to>
    <xdr:sp macro="" textlink="">
      <xdr:nvSpPr>
        <xdr:cNvPr id="31" name="Text Box 5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9174498" y="3737095"/>
          <a:ext cx="981286" cy="142406"/>
        </a:xfrm>
        <a:prstGeom prst="rect">
          <a:avLst/>
        </a:prstGeom>
        <a:solidFill>
          <a:srgbClr val="FFFFFF"/>
        </a:solidFill>
        <a:ln w="9525">
          <a:solidFill>
            <a:schemeClr val="bg1">
              <a:lumMod val="65000"/>
            </a:schemeClr>
          </a:solidFill>
          <a:miter lim="800000"/>
          <a:headEnd/>
          <a:tailEnd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wrap="square" lIns="27432" tIns="32004" rIns="27432" bIns="0" anchor="ctr" upright="1"/>
        <a:lstStyle/>
        <a:p>
          <a:pPr algn="ctr" rtl="1">
            <a:defRPr sz="1000"/>
          </a:pPr>
          <a:r>
            <a:rPr lang="en-US" sz="800" b="0" i="0" strike="noStrike">
              <a:ln>
                <a:solidFill>
                  <a:schemeClr val="tx1"/>
                </a:solidFill>
              </a:ln>
              <a:solidFill>
                <a:srgbClr val="000000"/>
              </a:solidFill>
              <a:latin typeface="Trebuchet MS"/>
            </a:rPr>
            <a:t>ANGGOTA</a:t>
          </a:r>
        </a:p>
      </xdr:txBody>
    </xdr:sp>
    <xdr:clientData/>
  </xdr:twoCellAnchor>
  <xdr:twoCellAnchor>
    <xdr:from>
      <xdr:col>15</xdr:col>
      <xdr:colOff>315401</xdr:colOff>
      <xdr:row>21</xdr:row>
      <xdr:rowOff>38100</xdr:rowOff>
    </xdr:from>
    <xdr:to>
      <xdr:col>15</xdr:col>
      <xdr:colOff>317544</xdr:colOff>
      <xdr:row>21</xdr:row>
      <xdr:rowOff>178555</xdr:rowOff>
    </xdr:to>
    <xdr:cxnSp macro="">
      <xdr:nvCxnSpPr>
        <xdr:cNvPr id="32" name="AutoShape 30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CxnSpPr>
          <a:cxnSpLocks noChangeShapeType="1"/>
          <a:stCxn id="11" idx="2"/>
          <a:endCxn id="31" idx="0"/>
        </xdr:cNvCxnSpPr>
      </xdr:nvCxnSpPr>
      <xdr:spPr bwMode="auto">
        <a:xfrm flipH="1">
          <a:off x="9665141" y="3589020"/>
          <a:ext cx="2143" cy="140455"/>
        </a:xfrm>
        <a:prstGeom prst="straightConnector1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cxnSp>
    <xdr:clientData/>
  </xdr:twoCellAnchor>
  <xdr:twoCellAnchor>
    <xdr:from>
      <xdr:col>14</xdr:col>
      <xdr:colOff>277302</xdr:colOff>
      <xdr:row>21</xdr:row>
      <xdr:rowOff>104571</xdr:rowOff>
    </xdr:from>
    <xdr:to>
      <xdr:col>16</xdr:col>
      <xdr:colOff>319636</xdr:colOff>
      <xdr:row>21</xdr:row>
      <xdr:rowOff>106687</xdr:rowOff>
    </xdr:to>
    <xdr:cxnSp macro="">
      <xdr:nvCxnSpPr>
        <xdr:cNvPr id="33" name="AutoShape 30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CxnSpPr>
          <a:cxnSpLocks noChangeShapeType="1"/>
          <a:endCxn id="16" idx="1"/>
        </xdr:cNvCxnSpPr>
      </xdr:nvCxnSpPr>
      <xdr:spPr bwMode="auto">
        <a:xfrm>
          <a:off x="8994582" y="3663111"/>
          <a:ext cx="1307254" cy="2116"/>
        </a:xfrm>
        <a:prstGeom prst="straightConnector1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cxnSp>
    <xdr:clientData/>
  </xdr:twoCellAnchor>
  <xdr:twoCellAnchor>
    <xdr:from>
      <xdr:col>12</xdr:col>
      <xdr:colOff>579982</xdr:colOff>
      <xdr:row>31</xdr:row>
      <xdr:rowOff>7102</xdr:rowOff>
    </xdr:from>
    <xdr:to>
      <xdr:col>14</xdr:col>
      <xdr:colOff>294232</xdr:colOff>
      <xdr:row>38</xdr:row>
      <xdr:rowOff>0</xdr:rowOff>
    </xdr:to>
    <xdr:grpSp>
      <xdr:nvGrpSpPr>
        <xdr:cNvPr id="34" name="Group 22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GrpSpPr>
          <a:grpSpLocks/>
        </xdr:cNvGrpSpPr>
      </xdr:nvGrpSpPr>
      <xdr:grpSpPr bwMode="auto">
        <a:xfrm>
          <a:off x="8130132" y="5531602"/>
          <a:ext cx="996950" cy="1034298"/>
          <a:chOff x="281" y="378"/>
          <a:chExt cx="89" cy="112"/>
        </a:xfrm>
      </xdr:grpSpPr>
      <xdr:sp macro="" textlink="">
        <xdr:nvSpPr>
          <xdr:cNvPr id="35" name="Rectangle 1">
            <a:extLst>
              <a:ext uri="{FF2B5EF4-FFF2-40B4-BE49-F238E27FC236}">
                <a16:creationId xmlns="" xmlns:a16="http://schemas.microsoft.com/office/drawing/2014/main" id="{00000000-0008-0000-00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281" y="378"/>
            <a:ext cx="89" cy="9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6" name="Text Box 5">
            <a:extLst>
              <a:ext uri="{FF2B5EF4-FFF2-40B4-BE49-F238E27FC236}">
                <a16:creationId xmlns="" xmlns:a16="http://schemas.microsoft.com/office/drawing/2014/main" id="{00000000-0008-0000-0000-00002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1" y="474"/>
            <a:ext cx="89" cy="16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32004" rIns="27432" bIns="0" anchor="t" upright="1"/>
          <a:lstStyle/>
          <a:p>
            <a:pPr algn="ctr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xdr:twoCellAnchor>
    <xdr:from>
      <xdr:col>12</xdr:col>
      <xdr:colOff>28593</xdr:colOff>
      <xdr:row>23</xdr:row>
      <xdr:rowOff>921</xdr:rowOff>
    </xdr:from>
    <xdr:to>
      <xdr:col>15</xdr:col>
      <xdr:colOff>315403</xdr:colOff>
      <xdr:row>23</xdr:row>
      <xdr:rowOff>167968</xdr:rowOff>
    </xdr:to>
    <xdr:cxnSp macro="">
      <xdr:nvCxnSpPr>
        <xdr:cNvPr id="37" name="Elbow Connector 46">
          <a:extLst>
            <a:ext uri="{FF2B5EF4-FFF2-40B4-BE49-F238E27FC236}">
              <a16:creationId xmlns="" xmlns:a16="http://schemas.microsoft.com/office/drawing/2014/main" id="{00000000-0008-0000-0000-000025000000}"/>
            </a:ext>
          </a:extLst>
        </xdr:cNvPr>
        <xdr:cNvCxnSpPr>
          <a:stCxn id="26" idx="0"/>
          <a:endCxn id="31" idx="2"/>
        </xdr:cNvCxnSpPr>
      </xdr:nvCxnSpPr>
      <xdr:spPr>
        <a:xfrm rot="5400000" flipH="1" flipV="1">
          <a:off x="8489524" y="2870930"/>
          <a:ext cx="167047" cy="2184190"/>
        </a:xfrm>
        <a:prstGeom prst="bentConnector3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430764</xdr:colOff>
      <xdr:row>23</xdr:row>
      <xdr:rowOff>921</xdr:rowOff>
    </xdr:from>
    <xdr:to>
      <xdr:col>15</xdr:col>
      <xdr:colOff>315402</xdr:colOff>
      <xdr:row>23</xdr:row>
      <xdr:rowOff>167973</xdr:rowOff>
    </xdr:to>
    <xdr:cxnSp macro="">
      <xdr:nvCxnSpPr>
        <xdr:cNvPr id="38" name="Elbow Connector 47">
          <a:extLst>
            <a:ext uri="{FF2B5EF4-FFF2-40B4-BE49-F238E27FC236}">
              <a16:creationId xmlns="" xmlns:a16="http://schemas.microsoft.com/office/drawing/2014/main" id="{00000000-0008-0000-0000-000026000000}"/>
            </a:ext>
          </a:extLst>
        </xdr:cNvPr>
        <xdr:cNvCxnSpPr>
          <a:stCxn id="23" idx="0"/>
          <a:endCxn id="31" idx="2"/>
        </xdr:cNvCxnSpPr>
      </xdr:nvCxnSpPr>
      <xdr:spPr>
        <a:xfrm rot="5400000" flipH="1" flipV="1">
          <a:off x="9006837" y="3388248"/>
          <a:ext cx="167052" cy="1149558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315402</xdr:colOff>
      <xdr:row>23</xdr:row>
      <xdr:rowOff>921</xdr:rowOff>
    </xdr:from>
    <xdr:to>
      <xdr:col>19</xdr:col>
      <xdr:colOff>3170</xdr:colOff>
      <xdr:row>23</xdr:row>
      <xdr:rowOff>169333</xdr:rowOff>
    </xdr:to>
    <xdr:cxnSp macro="">
      <xdr:nvCxnSpPr>
        <xdr:cNvPr id="39" name="Elbow Connector 48">
          <a:extLst>
            <a:ext uri="{FF2B5EF4-FFF2-40B4-BE49-F238E27FC236}">
              <a16:creationId xmlns="" xmlns:a16="http://schemas.microsoft.com/office/drawing/2014/main" id="{00000000-0008-0000-0000-000027000000}"/>
            </a:ext>
          </a:extLst>
        </xdr:cNvPr>
        <xdr:cNvCxnSpPr>
          <a:stCxn id="29" idx="0"/>
          <a:endCxn id="31" idx="2"/>
        </xdr:cNvCxnSpPr>
      </xdr:nvCxnSpPr>
      <xdr:spPr>
        <a:xfrm rot="16200000" flipV="1">
          <a:off x="10689740" y="2854903"/>
          <a:ext cx="168412" cy="2217608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315402</xdr:colOff>
      <xdr:row>23</xdr:row>
      <xdr:rowOff>921</xdr:rowOff>
    </xdr:from>
    <xdr:to>
      <xdr:col>17</xdr:col>
      <xdr:colOff>189459</xdr:colOff>
      <xdr:row>23</xdr:row>
      <xdr:rowOff>170085</xdr:rowOff>
    </xdr:to>
    <xdr:cxnSp macro="">
      <xdr:nvCxnSpPr>
        <xdr:cNvPr id="40" name="Elbow Connector 49">
          <a:extLst>
            <a:ext uri="{FF2B5EF4-FFF2-40B4-BE49-F238E27FC236}">
              <a16:creationId xmlns="" xmlns:a16="http://schemas.microsoft.com/office/drawing/2014/main" id="{00000000-0008-0000-0000-000028000000}"/>
            </a:ext>
          </a:extLst>
        </xdr:cNvPr>
        <xdr:cNvCxnSpPr>
          <a:stCxn id="31" idx="2"/>
          <a:endCxn id="20" idx="0"/>
        </xdr:cNvCxnSpPr>
      </xdr:nvCxnSpPr>
      <xdr:spPr>
        <a:xfrm rot="16200000" flipH="1">
          <a:off x="10150049" y="3394594"/>
          <a:ext cx="169164" cy="1138977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439225</xdr:colOff>
      <xdr:row>23</xdr:row>
      <xdr:rowOff>84666</xdr:rowOff>
    </xdr:from>
    <xdr:to>
      <xdr:col>14</xdr:col>
      <xdr:colOff>372534</xdr:colOff>
      <xdr:row>31</xdr:row>
      <xdr:rowOff>7102</xdr:rowOff>
    </xdr:to>
    <xdr:cxnSp macro="">
      <xdr:nvCxnSpPr>
        <xdr:cNvPr id="41" name="Elbow Connector 50">
          <a:extLst>
            <a:ext uri="{FF2B5EF4-FFF2-40B4-BE49-F238E27FC236}">
              <a16:creationId xmlns="" xmlns:a16="http://schemas.microsoft.com/office/drawing/2014/main" id="{00000000-0008-0000-0000-000029000000}"/>
            </a:ext>
          </a:extLst>
        </xdr:cNvPr>
        <xdr:cNvCxnSpPr>
          <a:stCxn id="35" idx="0"/>
        </xdr:cNvCxnSpPr>
      </xdr:nvCxnSpPr>
      <xdr:spPr>
        <a:xfrm rot="5400000" flipH="1" flipV="1">
          <a:off x="8091332" y="4395959"/>
          <a:ext cx="1431196" cy="565769"/>
        </a:xfrm>
        <a:prstGeom prst="bentConnector3">
          <a:avLst>
            <a:gd name="adj1" fmla="val 10050"/>
          </a:avLst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467780</xdr:colOff>
      <xdr:row>23</xdr:row>
      <xdr:rowOff>165866</xdr:rowOff>
    </xdr:from>
    <xdr:to>
      <xdr:col>16</xdr:col>
      <xdr:colOff>177796</xdr:colOff>
      <xdr:row>29</xdr:row>
      <xdr:rowOff>43389</xdr:rowOff>
    </xdr:to>
    <xdr:grpSp>
      <xdr:nvGrpSpPr>
        <xdr:cNvPr id="42" name="Group 22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GrpSpPr>
          <a:grpSpLocks/>
        </xdr:cNvGrpSpPr>
      </xdr:nvGrpSpPr>
      <xdr:grpSpPr bwMode="auto">
        <a:xfrm>
          <a:off x="9300630" y="4140966"/>
          <a:ext cx="992716" cy="1096723"/>
          <a:chOff x="281" y="378"/>
          <a:chExt cx="89" cy="112"/>
        </a:xfrm>
      </xdr:grpSpPr>
      <xdr:sp macro="" textlink="">
        <xdr:nvSpPr>
          <xdr:cNvPr id="43" name="Rectangle 1">
            <a:extLst>
              <a:ext uri="{FF2B5EF4-FFF2-40B4-BE49-F238E27FC236}">
                <a16:creationId xmlns="" xmlns:a16="http://schemas.microsoft.com/office/drawing/2014/main" id="{00000000-0008-0000-0000-00002B000000}"/>
              </a:ext>
            </a:extLst>
          </xdr:cNvPr>
          <xdr:cNvSpPr>
            <a:spLocks noChangeArrowheads="1"/>
          </xdr:cNvSpPr>
        </xdr:nvSpPr>
        <xdr:spPr bwMode="auto">
          <a:xfrm>
            <a:off x="281" y="378"/>
            <a:ext cx="89" cy="9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4" name="Text Box 5">
            <a:extLst>
              <a:ext uri="{FF2B5EF4-FFF2-40B4-BE49-F238E27FC236}">
                <a16:creationId xmlns="" xmlns:a16="http://schemas.microsoft.com/office/drawing/2014/main" id="{00000000-0008-0000-0000-00002C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1" y="474"/>
            <a:ext cx="89" cy="16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32004" rIns="27432" bIns="0" anchor="t" upright="1"/>
          <a:lstStyle/>
          <a:p>
            <a:pPr algn="ctr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xdr:twoCellAnchor>
    <xdr:from>
      <xdr:col>13</xdr:col>
      <xdr:colOff>437107</xdr:colOff>
      <xdr:row>30</xdr:row>
      <xdr:rowOff>129540</xdr:rowOff>
    </xdr:from>
    <xdr:to>
      <xdr:col>14</xdr:col>
      <xdr:colOff>388623</xdr:colOff>
      <xdr:row>31</xdr:row>
      <xdr:rowOff>7102</xdr:rowOff>
    </xdr:to>
    <xdr:cxnSp macro="">
      <xdr:nvCxnSpPr>
        <xdr:cNvPr id="45" name="Elbow Connector 55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CxnSpPr>
          <a:cxnSpLocks/>
          <a:stCxn id="35" idx="0"/>
        </xdr:cNvCxnSpPr>
      </xdr:nvCxnSpPr>
      <xdr:spPr>
        <a:xfrm rot="5400000" flipH="1" flipV="1">
          <a:off x="8737974" y="5026513"/>
          <a:ext cx="151882" cy="583976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286846</xdr:colOff>
          <xdr:row>36</xdr:row>
          <xdr:rowOff>222249</xdr:rowOff>
        </xdr:from>
        <xdr:to>
          <xdr:col>17</xdr:col>
          <xdr:colOff>502746</xdr:colOff>
          <xdr:row>36</xdr:row>
          <xdr:rowOff>222249</xdr:rowOff>
        </xdr:to>
        <xdr:pic>
          <xdr:nvPicPr>
            <xdr:cNvPr id="46" name="Picture 45">
              <a:extLst>
                <a:ext uri="{FF2B5EF4-FFF2-40B4-BE49-F238E27FC236}">
                  <a16:creationId xmlns="" xmlns:a16="http://schemas.microsoft.com/office/drawing/2014/main" id="{00000000-0008-0000-0000-00002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D$39" spid="_x0000_s288018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25873" t="13396" r="25437" b="16713"/>
            <a:stretch>
              <a:fillRect/>
            </a:stretch>
          </xdr:blipFill>
          <xdr:spPr bwMode="auto">
            <a:xfrm>
              <a:off x="10269046" y="6295389"/>
              <a:ext cx="84836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606425</xdr:colOff>
      <xdr:row>47</xdr:row>
      <xdr:rowOff>76200</xdr:rowOff>
    </xdr:from>
    <xdr:to>
      <xdr:col>10</xdr:col>
      <xdr:colOff>232751</xdr:colOff>
      <xdr:row>51</xdr:row>
      <xdr:rowOff>182880</xdr:rowOff>
    </xdr:to>
    <xdr:grpSp>
      <xdr:nvGrpSpPr>
        <xdr:cNvPr id="47" name="Group 46">
          <a:extLst>
            <a:ext uri="{FF2B5EF4-FFF2-40B4-BE49-F238E27FC236}">
              <a16:creationId xmlns=""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688975" y="8382000"/>
          <a:ext cx="6141426" cy="1224280"/>
          <a:chOff x="6848475" y="7067550"/>
          <a:chExt cx="4690451" cy="1211580"/>
        </a:xfrm>
      </xdr:grpSpPr>
      <xdr:grpSp>
        <xdr:nvGrpSpPr>
          <xdr:cNvPr id="48" name="Group 47">
            <a:extLst>
              <a:ext uri="{FF2B5EF4-FFF2-40B4-BE49-F238E27FC236}">
                <a16:creationId xmlns=""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6848475" y="7067550"/>
            <a:ext cx="1175726" cy="847725"/>
            <a:chOff x="3095624" y="8229600"/>
            <a:chExt cx="1097281" cy="847725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="" xmlns:a16="http://schemas.microsoft.com/office/drawing/2014/main" id="{00000000-0008-0000-0000-000044000000}"/>
                </a:ext>
              </a:extLst>
            </xdr:cNvPr>
            <xdr:cNvSpPr/>
          </xdr:nvSpPr>
          <xdr:spPr>
            <a:xfrm>
              <a:off x="3095624" y="8229600"/>
              <a:ext cx="1097280" cy="18288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r>
                <a:rPr lang="en-US" sz="1100">
                  <a:solidFill>
                    <a:sysClr val="windowText" lastClr="000000"/>
                  </a:solidFill>
                </a:rPr>
                <a:t>Didaftarkan</a:t>
              </a:r>
              <a:r>
                <a:rPr lang="en-US" sz="1100" baseline="0">
                  <a:solidFill>
                    <a:sysClr val="windowText" lastClr="000000"/>
                  </a:solidFill>
                </a:rPr>
                <a:t> oleh :</a:t>
              </a:r>
              <a:endParaRPr lang="id-ID" sz="11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9" name="Rectangle 68">
              <a:extLst>
                <a:ext uri="{FF2B5EF4-FFF2-40B4-BE49-F238E27FC236}">
                  <a16:creationId xmlns="" xmlns:a16="http://schemas.microsoft.com/office/drawing/2014/main" id="{00000000-0008-0000-0000-000045000000}"/>
                </a:ext>
              </a:extLst>
            </xdr:cNvPr>
            <xdr:cNvSpPr/>
          </xdr:nvSpPr>
          <xdr:spPr>
            <a:xfrm>
              <a:off x="3095625" y="8410575"/>
              <a:ext cx="1097280" cy="66675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endParaRPr lang="id-ID" sz="1100">
                <a:solidFill>
                  <a:sysClr val="windowText" lastClr="000000"/>
                </a:solidFill>
              </a:endParaRPr>
            </a:p>
          </xdr:txBody>
        </xdr:sp>
      </xdr:grpSp>
      <xdr:sp macro="" textlink="">
        <xdr:nvSpPr>
          <xdr:cNvPr id="49" name="Rectangle 48">
            <a:extLst>
              <a:ext uri="{FF2B5EF4-FFF2-40B4-BE49-F238E27FC236}">
                <a16:creationId xmlns=""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6848475" y="8096250"/>
            <a:ext cx="1175725" cy="18288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 anchorCtr="0"/>
          <a:lstStyle/>
          <a:p>
            <a:pPr algn="ctr"/>
            <a:r>
              <a:rPr lang="en-US" sz="1050" baseline="0">
                <a:solidFill>
                  <a:sysClr val="windowText" lastClr="000000"/>
                </a:solidFill>
              </a:rPr>
              <a:t>Project Leader</a:t>
            </a:r>
            <a:endParaRPr lang="id-ID" sz="105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0" name="Rectangle 49">
            <a:extLst>
              <a:ext uri="{FF2B5EF4-FFF2-40B4-BE49-F238E27FC236}">
                <a16:creationId xmlns="" xmlns:a16="http://schemas.microsoft.com/office/drawing/2014/main" id="{00000000-0008-0000-0000-000032000000}"/>
              </a:ext>
            </a:extLst>
          </xdr:cNvPr>
          <xdr:cNvSpPr/>
        </xdr:nvSpPr>
        <xdr:spPr>
          <a:xfrm>
            <a:off x="6848475" y="7915275"/>
            <a:ext cx="1175725" cy="18288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 anchorCtr="0"/>
          <a:lstStyle/>
          <a:p>
            <a:pPr algn="ctr"/>
            <a:endParaRPr lang="id-ID" sz="1050">
              <a:solidFill>
                <a:schemeClr val="bg1">
                  <a:lumMod val="75000"/>
                </a:schemeClr>
              </a:solidFill>
            </a:endParaRPr>
          </a:p>
        </xdr:txBody>
      </xdr:sp>
      <xdr:grpSp>
        <xdr:nvGrpSpPr>
          <xdr:cNvPr id="51" name="Group 50">
            <a:extLst>
              <a:ext uri="{FF2B5EF4-FFF2-40B4-BE49-F238E27FC236}">
                <a16:creationId xmlns="" xmlns:a16="http://schemas.microsoft.com/office/drawing/2014/main" id="{00000000-0008-0000-0000-000033000000}"/>
              </a:ext>
            </a:extLst>
          </xdr:cNvPr>
          <xdr:cNvGrpSpPr/>
        </xdr:nvGrpSpPr>
        <xdr:grpSpPr>
          <a:xfrm>
            <a:off x="8020050" y="7067550"/>
            <a:ext cx="1175726" cy="847725"/>
            <a:chOff x="3095624" y="8229600"/>
            <a:chExt cx="1097281" cy="847725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="" xmlns:a16="http://schemas.microsoft.com/office/drawing/2014/main" id="{00000000-0008-0000-0000-000042000000}"/>
                </a:ext>
              </a:extLst>
            </xdr:cNvPr>
            <xdr:cNvSpPr/>
          </xdr:nvSpPr>
          <xdr:spPr>
            <a:xfrm>
              <a:off x="3095624" y="8229600"/>
              <a:ext cx="1097280" cy="18288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r>
                <a:rPr lang="en-US" sz="1100">
                  <a:solidFill>
                    <a:sysClr val="windowText" lastClr="000000"/>
                  </a:solidFill>
                </a:rPr>
                <a:t>Diketahui</a:t>
              </a:r>
              <a:r>
                <a:rPr lang="en-US" sz="1100" baseline="0">
                  <a:solidFill>
                    <a:sysClr val="windowText" lastClr="000000"/>
                  </a:solidFill>
                </a:rPr>
                <a:t> oleh :</a:t>
              </a:r>
              <a:endParaRPr lang="id-ID" sz="11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7" name="Rectangle 66">
              <a:extLst>
                <a:ext uri="{FF2B5EF4-FFF2-40B4-BE49-F238E27FC236}">
                  <a16:creationId xmlns="" xmlns:a16="http://schemas.microsoft.com/office/drawing/2014/main" id="{00000000-0008-0000-0000-000043000000}"/>
                </a:ext>
              </a:extLst>
            </xdr:cNvPr>
            <xdr:cNvSpPr/>
          </xdr:nvSpPr>
          <xdr:spPr>
            <a:xfrm>
              <a:off x="3095625" y="8410575"/>
              <a:ext cx="1097280" cy="66675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endParaRPr lang="id-ID" sz="1100">
                <a:solidFill>
                  <a:sysClr val="windowText" lastClr="000000"/>
                </a:solidFill>
              </a:endParaRPr>
            </a:p>
          </xdr:txBody>
        </xdr:sp>
      </xdr:grpSp>
      <xdr:sp macro="" textlink="">
        <xdr:nvSpPr>
          <xdr:cNvPr id="52" name="Rectangle 51">
            <a:extLst>
              <a:ext uri="{FF2B5EF4-FFF2-40B4-BE49-F238E27FC236}">
                <a16:creationId xmlns="" xmlns:a16="http://schemas.microsoft.com/office/drawing/2014/main" id="{00000000-0008-0000-0000-000034000000}"/>
              </a:ext>
            </a:extLst>
          </xdr:cNvPr>
          <xdr:cNvSpPr/>
        </xdr:nvSpPr>
        <xdr:spPr>
          <a:xfrm>
            <a:off x="8020050" y="8096250"/>
            <a:ext cx="1175725" cy="18288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 anchorCtr="0"/>
          <a:lstStyle/>
          <a:p>
            <a:pPr algn="ctr"/>
            <a:r>
              <a:rPr lang="en-US" sz="1050">
                <a:solidFill>
                  <a:sysClr val="windowText" lastClr="000000"/>
                </a:solidFill>
              </a:rPr>
              <a:t>Fasilitator</a:t>
            </a:r>
            <a:endParaRPr lang="id-ID" sz="105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3" name="Rectangle 52">
            <a:extLst>
              <a:ext uri="{FF2B5EF4-FFF2-40B4-BE49-F238E27FC236}">
                <a16:creationId xmlns=""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8020050" y="7915275"/>
            <a:ext cx="1175725" cy="18288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 anchorCtr="0"/>
          <a:lstStyle/>
          <a:p>
            <a:pPr algn="ctr"/>
            <a:endParaRPr lang="id-ID" sz="1050">
              <a:solidFill>
                <a:schemeClr val="bg1">
                  <a:lumMod val="75000"/>
                </a:schemeClr>
              </a:solidFill>
            </a:endParaRPr>
          </a:p>
        </xdr:txBody>
      </xdr:sp>
      <xdr:grpSp>
        <xdr:nvGrpSpPr>
          <xdr:cNvPr id="54" name="Group 53">
            <a:extLst>
              <a:ext uri="{FF2B5EF4-FFF2-40B4-BE49-F238E27FC236}">
                <a16:creationId xmlns="" xmlns:a16="http://schemas.microsoft.com/office/drawing/2014/main" id="{00000000-0008-0000-0000-000036000000}"/>
              </a:ext>
            </a:extLst>
          </xdr:cNvPr>
          <xdr:cNvGrpSpPr/>
        </xdr:nvGrpSpPr>
        <xdr:grpSpPr>
          <a:xfrm>
            <a:off x="9191625" y="7067550"/>
            <a:ext cx="1175726" cy="1211580"/>
            <a:chOff x="9277350" y="7162800"/>
            <a:chExt cx="1175726" cy="1211580"/>
          </a:xfrm>
        </xdr:grpSpPr>
        <xdr:grpSp>
          <xdr:nvGrpSpPr>
            <xdr:cNvPr id="61" name="Group 60">
              <a:extLst>
                <a:ext uri="{FF2B5EF4-FFF2-40B4-BE49-F238E27FC236}">
                  <a16:creationId xmlns="" xmlns:a16="http://schemas.microsoft.com/office/drawing/2014/main" id="{00000000-0008-0000-0000-00003D000000}"/>
                </a:ext>
              </a:extLst>
            </xdr:cNvPr>
            <xdr:cNvGrpSpPr/>
          </xdr:nvGrpSpPr>
          <xdr:grpSpPr>
            <a:xfrm>
              <a:off x="9277350" y="7162800"/>
              <a:ext cx="1175726" cy="847725"/>
              <a:chOff x="3095624" y="8229600"/>
              <a:chExt cx="1097281" cy="847725"/>
            </a:xfrm>
          </xdr:grpSpPr>
          <xdr:sp macro="" textlink="">
            <xdr:nvSpPr>
              <xdr:cNvPr id="64" name="Rectangle 63">
                <a:extLst>
                  <a:ext uri="{FF2B5EF4-FFF2-40B4-BE49-F238E27FC236}">
                    <a16:creationId xmlns="" xmlns:a16="http://schemas.microsoft.com/office/drawing/2014/main" id="{00000000-0008-0000-0000-000040000000}"/>
                  </a:ext>
                </a:extLst>
              </xdr:cNvPr>
              <xdr:cNvSpPr/>
            </xdr:nvSpPr>
            <xdr:spPr>
              <a:xfrm>
                <a:off x="3095624" y="8229600"/>
                <a:ext cx="1097280" cy="18288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rIns="0" rtlCol="0" anchor="ctr" anchorCtr="0"/>
              <a:lstStyle/>
              <a:p>
                <a:pPr algn="ctr"/>
                <a:r>
                  <a:rPr lang="en-US" sz="1100">
                    <a:solidFill>
                      <a:sysClr val="windowText" lastClr="000000"/>
                    </a:solidFill>
                  </a:rPr>
                  <a:t>Diketahui</a:t>
                </a:r>
                <a:r>
                  <a:rPr lang="en-US" sz="1100" baseline="0">
                    <a:solidFill>
                      <a:sysClr val="windowText" lastClr="000000"/>
                    </a:solidFill>
                  </a:rPr>
                  <a:t> oleh :</a:t>
                </a:r>
                <a:endParaRPr lang="id-ID" sz="11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65" name="Rectangle 64">
                <a:extLst>
                  <a:ext uri="{FF2B5EF4-FFF2-40B4-BE49-F238E27FC236}">
                    <a16:creationId xmlns="" xmlns:a16="http://schemas.microsoft.com/office/drawing/2014/main" id="{00000000-0008-0000-0000-000041000000}"/>
                  </a:ext>
                </a:extLst>
              </xdr:cNvPr>
              <xdr:cNvSpPr/>
            </xdr:nvSpPr>
            <xdr:spPr>
              <a:xfrm>
                <a:off x="3095625" y="8410575"/>
                <a:ext cx="1097280" cy="66675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rIns="0" rtlCol="0" anchor="ctr" anchorCtr="0"/>
              <a:lstStyle/>
              <a:p>
                <a:pPr algn="ctr"/>
                <a:endParaRPr lang="id-ID" sz="1100">
                  <a:solidFill>
                    <a:sysClr val="windowText" lastClr="000000"/>
                  </a:solidFill>
                </a:endParaRPr>
              </a:p>
            </xdr:txBody>
          </xdr:sp>
        </xdr:grpSp>
        <xdr:sp macro="" textlink="">
          <xdr:nvSpPr>
            <xdr:cNvPr id="62" name="Rectangle 61">
              <a:extLst>
                <a:ext uri="{FF2B5EF4-FFF2-40B4-BE49-F238E27FC236}">
                  <a16:creationId xmlns="" xmlns:a16="http://schemas.microsoft.com/office/drawing/2014/main" id="{00000000-0008-0000-0000-00003E000000}"/>
                </a:ext>
              </a:extLst>
            </xdr:cNvPr>
            <xdr:cNvSpPr/>
          </xdr:nvSpPr>
          <xdr:spPr>
            <a:xfrm>
              <a:off x="9277350" y="8191500"/>
              <a:ext cx="1175725" cy="18288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r>
                <a:rPr lang="en-US" sz="1050">
                  <a:solidFill>
                    <a:sysClr val="windowText" lastClr="000000"/>
                  </a:solidFill>
                </a:rPr>
                <a:t>Dept.</a:t>
              </a:r>
              <a:r>
                <a:rPr lang="en-US" sz="1050" baseline="0">
                  <a:solidFill>
                    <a:sysClr val="windowText" lastClr="000000"/>
                  </a:solidFill>
                </a:rPr>
                <a:t> Head / EM / MM</a:t>
              </a:r>
              <a:endParaRPr lang="id-ID" sz="105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3" name="Rectangle 62">
              <a:extLst>
                <a:ext uri="{FF2B5EF4-FFF2-40B4-BE49-F238E27FC236}">
                  <a16:creationId xmlns="" xmlns:a16="http://schemas.microsoft.com/office/drawing/2014/main" id="{00000000-0008-0000-0000-00003F000000}"/>
                </a:ext>
              </a:extLst>
            </xdr:cNvPr>
            <xdr:cNvSpPr/>
          </xdr:nvSpPr>
          <xdr:spPr>
            <a:xfrm>
              <a:off x="9277350" y="8010525"/>
              <a:ext cx="1175725" cy="18288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r>
                <a:rPr lang="en-US" sz="1050">
                  <a:solidFill>
                    <a:schemeClr val="bg1">
                      <a:lumMod val="75000"/>
                    </a:schemeClr>
                  </a:solidFill>
                </a:rPr>
                <a:t>Tulis</a:t>
              </a:r>
              <a:r>
                <a:rPr lang="en-US" sz="1050" baseline="0">
                  <a:solidFill>
                    <a:schemeClr val="bg1">
                      <a:lumMod val="75000"/>
                    </a:schemeClr>
                  </a:solidFill>
                </a:rPr>
                <a:t> nama disini</a:t>
              </a:r>
              <a:endParaRPr lang="id-ID" sz="1050">
                <a:solidFill>
                  <a:schemeClr val="bg1">
                    <a:lumMod val="75000"/>
                  </a:schemeClr>
                </a:solidFill>
              </a:endParaRPr>
            </a:p>
          </xdr:txBody>
        </xdr:sp>
      </xdr:grpSp>
      <xdr:grpSp>
        <xdr:nvGrpSpPr>
          <xdr:cNvPr id="55" name="Group 54">
            <a:extLst>
              <a:ext uri="{FF2B5EF4-FFF2-40B4-BE49-F238E27FC236}">
                <a16:creationId xmlns=""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10363200" y="7067550"/>
            <a:ext cx="1175726" cy="1211580"/>
            <a:chOff x="9277350" y="7162800"/>
            <a:chExt cx="1175726" cy="1211580"/>
          </a:xfrm>
        </xdr:grpSpPr>
        <xdr:grpSp>
          <xdr:nvGrpSpPr>
            <xdr:cNvPr id="56" name="Group 55">
              <a:extLst>
                <a:ext uri="{FF2B5EF4-FFF2-40B4-BE49-F238E27FC236}">
                  <a16:creationId xmlns="" xmlns:a16="http://schemas.microsoft.com/office/drawing/2014/main" id="{00000000-0008-0000-0000-000038000000}"/>
                </a:ext>
              </a:extLst>
            </xdr:cNvPr>
            <xdr:cNvGrpSpPr/>
          </xdr:nvGrpSpPr>
          <xdr:grpSpPr>
            <a:xfrm>
              <a:off x="9277350" y="7162800"/>
              <a:ext cx="1175726" cy="847725"/>
              <a:chOff x="3095624" y="8229600"/>
              <a:chExt cx="1097281" cy="847725"/>
            </a:xfrm>
          </xdr:grpSpPr>
          <xdr:sp macro="" textlink="">
            <xdr:nvSpPr>
              <xdr:cNvPr id="59" name="Rectangle 58">
                <a:extLst>
                  <a:ext uri="{FF2B5EF4-FFF2-40B4-BE49-F238E27FC236}">
                    <a16:creationId xmlns="" xmlns:a16="http://schemas.microsoft.com/office/drawing/2014/main" id="{00000000-0008-0000-0000-00003B000000}"/>
                  </a:ext>
                </a:extLst>
              </xdr:cNvPr>
              <xdr:cNvSpPr/>
            </xdr:nvSpPr>
            <xdr:spPr>
              <a:xfrm>
                <a:off x="3095624" y="8229600"/>
                <a:ext cx="1097280" cy="18288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rIns="0" rtlCol="0" anchor="ctr" anchorCtr="0"/>
              <a:lstStyle/>
              <a:p>
                <a:pPr algn="ctr"/>
                <a:r>
                  <a:rPr lang="en-US" sz="1100">
                    <a:solidFill>
                      <a:sysClr val="windowText" lastClr="000000"/>
                    </a:solidFill>
                  </a:rPr>
                  <a:t>Diterima</a:t>
                </a:r>
                <a:r>
                  <a:rPr lang="en-US" sz="1100" baseline="0">
                    <a:solidFill>
                      <a:sysClr val="windowText" lastClr="000000"/>
                    </a:solidFill>
                  </a:rPr>
                  <a:t> oleh :</a:t>
                </a:r>
                <a:endParaRPr lang="id-ID" sz="11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60" name="Rectangle 59">
                <a:extLst>
                  <a:ext uri="{FF2B5EF4-FFF2-40B4-BE49-F238E27FC236}">
                    <a16:creationId xmlns="" xmlns:a16="http://schemas.microsoft.com/office/drawing/2014/main" id="{00000000-0008-0000-0000-00003C000000}"/>
                  </a:ext>
                </a:extLst>
              </xdr:cNvPr>
              <xdr:cNvSpPr/>
            </xdr:nvSpPr>
            <xdr:spPr>
              <a:xfrm>
                <a:off x="3095625" y="8410575"/>
                <a:ext cx="1097280" cy="66675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rIns="0" rtlCol="0" anchor="ctr" anchorCtr="0"/>
              <a:lstStyle/>
              <a:p>
                <a:pPr algn="ctr"/>
                <a:endParaRPr lang="id-ID" sz="1100">
                  <a:solidFill>
                    <a:sysClr val="windowText" lastClr="000000"/>
                  </a:solidFill>
                </a:endParaRPr>
              </a:p>
            </xdr:txBody>
          </xdr:sp>
        </xdr:grpSp>
        <xdr:sp macro="" textlink="">
          <xdr:nvSpPr>
            <xdr:cNvPr id="57" name="Rectangle 56">
              <a:extLst>
                <a:ext uri="{FF2B5EF4-FFF2-40B4-BE49-F238E27FC236}">
                  <a16:creationId xmlns="" xmlns:a16="http://schemas.microsoft.com/office/drawing/2014/main" id="{00000000-0008-0000-0000-000039000000}"/>
                </a:ext>
              </a:extLst>
            </xdr:cNvPr>
            <xdr:cNvSpPr/>
          </xdr:nvSpPr>
          <xdr:spPr>
            <a:xfrm>
              <a:off x="9277350" y="8191500"/>
              <a:ext cx="1175725" cy="18288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r>
                <a:rPr lang="en-US" sz="1050">
                  <a:solidFill>
                    <a:sysClr val="windowText" lastClr="000000"/>
                  </a:solidFill>
                </a:rPr>
                <a:t>Komite</a:t>
              </a:r>
              <a:r>
                <a:rPr lang="en-US" sz="1050" baseline="0">
                  <a:solidFill>
                    <a:sysClr val="windowText" lastClr="000000"/>
                  </a:solidFill>
                </a:rPr>
                <a:t> Improvement</a:t>
              </a:r>
              <a:endParaRPr lang="id-ID" sz="105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8" name="Rectangle 57">
              <a:extLst>
                <a:ext uri="{FF2B5EF4-FFF2-40B4-BE49-F238E27FC236}">
                  <a16:creationId xmlns="" xmlns:a16="http://schemas.microsoft.com/office/drawing/2014/main" id="{00000000-0008-0000-0000-00003A000000}"/>
                </a:ext>
              </a:extLst>
            </xdr:cNvPr>
            <xdr:cNvSpPr/>
          </xdr:nvSpPr>
          <xdr:spPr>
            <a:xfrm>
              <a:off x="9277350" y="8010525"/>
              <a:ext cx="1175725" cy="18288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r>
                <a:rPr lang="en-US" sz="1050">
                  <a:solidFill>
                    <a:schemeClr val="bg1">
                      <a:lumMod val="75000"/>
                    </a:schemeClr>
                  </a:solidFill>
                </a:rPr>
                <a:t>Tulis</a:t>
              </a:r>
              <a:r>
                <a:rPr lang="en-US" sz="1050" baseline="0">
                  <a:solidFill>
                    <a:schemeClr val="bg1">
                      <a:lumMod val="75000"/>
                    </a:schemeClr>
                  </a:solidFill>
                </a:rPr>
                <a:t> nama disini</a:t>
              </a:r>
              <a:endParaRPr lang="id-ID" sz="1050">
                <a:solidFill>
                  <a:schemeClr val="bg1">
                    <a:lumMod val="75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11</xdr:col>
      <xdr:colOff>518582</xdr:colOff>
      <xdr:row>45</xdr:row>
      <xdr:rowOff>50957</xdr:rowOff>
    </xdr:from>
    <xdr:to>
      <xdr:col>12</xdr:col>
      <xdr:colOff>99482</xdr:colOff>
      <xdr:row>46</xdr:row>
      <xdr:rowOff>14817</xdr:rowOff>
    </xdr:to>
    <xdr:sp macro="" textlink="">
      <xdr:nvSpPr>
        <xdr:cNvPr id="70" name="Rectangle 69">
          <a:extLst>
            <a:ext uri="{FF2B5EF4-FFF2-40B4-BE49-F238E27FC236}">
              <a16:creationId xmlns="" xmlns:a16="http://schemas.microsoft.com/office/drawing/2014/main" id="{00000000-0008-0000-0000-000046000000}"/>
            </a:ext>
          </a:extLst>
        </xdr:cNvPr>
        <xdr:cNvSpPr/>
      </xdr:nvSpPr>
      <xdr:spPr>
        <a:xfrm>
          <a:off x="7338482" y="7709057"/>
          <a:ext cx="213360" cy="19246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11</xdr:col>
      <xdr:colOff>0</xdr:colOff>
      <xdr:row>45</xdr:row>
      <xdr:rowOff>0</xdr:rowOff>
    </xdr:from>
    <xdr:ext cx="740833" cy="222250"/>
    <xdr:sp macro="" textlink="">
      <xdr:nvSpPr>
        <xdr:cNvPr id="71" name="TextBox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6819900" y="7658100"/>
          <a:ext cx="740833" cy="22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Note :</a:t>
          </a:r>
        </a:p>
      </xdr:txBody>
    </xdr:sp>
    <xdr:clientData/>
  </xdr:oneCellAnchor>
  <xdr:oneCellAnchor>
    <xdr:from>
      <xdr:col>12</xdr:col>
      <xdr:colOff>61390</xdr:colOff>
      <xdr:row>45</xdr:row>
      <xdr:rowOff>14816</xdr:rowOff>
    </xdr:from>
    <xdr:ext cx="3024710" cy="292100"/>
    <xdr:sp macro="" textlink="">
      <xdr:nvSpPr>
        <xdr:cNvPr id="72" name="TextBox 71">
          <a:extLst>
            <a:ext uri="{FF2B5EF4-FFF2-40B4-BE49-F238E27FC236}">
              <a16:creationId xmlns=""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7513750" y="7672916"/>
          <a:ext cx="3024710" cy="292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Kolom</a:t>
          </a:r>
          <a:r>
            <a:rPr lang="en-US" sz="1100" baseline="0"/>
            <a:t> yang berwarna kuning akan terisi otomatis.</a:t>
          </a:r>
          <a:endParaRPr lang="en-US" sz="1100"/>
        </a:p>
      </xdr:txBody>
    </xdr:sp>
    <xdr:clientData/>
  </xdr:oneCellAnchor>
  <xdr:twoCellAnchor>
    <xdr:from>
      <xdr:col>14</xdr:col>
      <xdr:colOff>411480</xdr:colOff>
      <xdr:row>12</xdr:row>
      <xdr:rowOff>0</xdr:rowOff>
    </xdr:from>
    <xdr:to>
      <xdr:col>16</xdr:col>
      <xdr:colOff>198120</xdr:colOff>
      <xdr:row>13</xdr:row>
      <xdr:rowOff>104775</xdr:rowOff>
    </xdr:to>
    <xdr:sp macro="" textlink="$D$18">
      <xdr:nvSpPr>
        <xdr:cNvPr id="73" name="Rectangle 72">
          <a:extLst>
            <a:ext uri="{FF2B5EF4-FFF2-40B4-BE49-F238E27FC236}">
              <a16:creationId xmlns="" xmlns:a16="http://schemas.microsoft.com/office/drawing/2014/main" id="{00000000-0008-0000-0000-000049000000}"/>
            </a:ext>
          </a:extLst>
        </xdr:cNvPr>
        <xdr:cNvSpPr/>
      </xdr:nvSpPr>
      <xdr:spPr>
        <a:xfrm>
          <a:off x="9128760" y="2232660"/>
          <a:ext cx="1051560" cy="150495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FE05C3D-BB21-4948-95E0-D1EEDDE73687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Bambang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421005</xdr:colOff>
      <xdr:row>19</xdr:row>
      <xdr:rowOff>28575</xdr:rowOff>
    </xdr:from>
    <xdr:to>
      <xdr:col>16</xdr:col>
      <xdr:colOff>207645</xdr:colOff>
      <xdr:row>19</xdr:row>
      <xdr:rowOff>180975</xdr:rowOff>
    </xdr:to>
    <xdr:sp macro="" textlink="$D$20">
      <xdr:nvSpPr>
        <xdr:cNvPr id="74" name="Rectangle 73">
          <a:extLst>
            <a:ext uri="{FF2B5EF4-FFF2-40B4-BE49-F238E27FC236}">
              <a16:creationId xmlns="" xmlns:a16="http://schemas.microsoft.com/office/drawing/2014/main" id="{00000000-0008-0000-0000-00004A000000}"/>
            </a:ext>
          </a:extLst>
        </xdr:cNvPr>
        <xdr:cNvSpPr/>
      </xdr:nvSpPr>
      <xdr:spPr>
        <a:xfrm>
          <a:off x="9138285" y="3267075"/>
          <a:ext cx="1051560" cy="1524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2CBF5C6-705D-44CF-9B9F-D56EB90B2905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Aulia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287655</xdr:colOff>
      <xdr:row>19</xdr:row>
      <xdr:rowOff>180975</xdr:rowOff>
    </xdr:from>
    <xdr:to>
      <xdr:col>18</xdr:col>
      <xdr:colOff>74295</xdr:colOff>
      <xdr:row>21</xdr:row>
      <xdr:rowOff>9525</xdr:rowOff>
    </xdr:to>
    <xdr:sp macro="" textlink="$D$22">
      <xdr:nvSpPr>
        <xdr:cNvPr id="75" name="Rectangle 74">
          <a:extLst>
            <a:ext uri="{FF2B5EF4-FFF2-40B4-BE49-F238E27FC236}">
              <a16:creationId xmlns="" xmlns:a16="http://schemas.microsoft.com/office/drawing/2014/main" id="{00000000-0008-0000-0000-00004B000000}"/>
            </a:ext>
          </a:extLst>
        </xdr:cNvPr>
        <xdr:cNvSpPr/>
      </xdr:nvSpPr>
      <xdr:spPr>
        <a:xfrm>
          <a:off x="10269855" y="3419475"/>
          <a:ext cx="1051560" cy="14859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D21C3F5-CC09-42A0-ADFC-EF2A739B46D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Mitra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167640</xdr:colOff>
      <xdr:row>28</xdr:row>
      <xdr:rowOff>182880</xdr:rowOff>
    </xdr:from>
    <xdr:to>
      <xdr:col>12</xdr:col>
      <xdr:colOff>502920</xdr:colOff>
      <xdr:row>30</xdr:row>
      <xdr:rowOff>38100</xdr:rowOff>
    </xdr:to>
    <xdr:sp macro="" textlink="$D$27">
      <xdr:nvSpPr>
        <xdr:cNvPr id="76" name="Rectangle 75">
          <a:extLst>
            <a:ext uri="{FF2B5EF4-FFF2-40B4-BE49-F238E27FC236}">
              <a16:creationId xmlns="" xmlns:a16="http://schemas.microsoft.com/office/drawing/2014/main" id="{00000000-0008-0000-0000-00004C000000}"/>
            </a:ext>
          </a:extLst>
        </xdr:cNvPr>
        <xdr:cNvSpPr/>
      </xdr:nvSpPr>
      <xdr:spPr>
        <a:xfrm>
          <a:off x="6987540" y="4968240"/>
          <a:ext cx="967740" cy="17526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DF99DC8-E1DD-41E5-A78D-BD26B752F51F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Anugrah Sandi 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571499</xdr:colOff>
      <xdr:row>28</xdr:row>
      <xdr:rowOff>180974</xdr:rowOff>
    </xdr:from>
    <xdr:to>
      <xdr:col>14</xdr:col>
      <xdr:colOff>297180</xdr:colOff>
      <xdr:row>30</xdr:row>
      <xdr:rowOff>30479</xdr:rowOff>
    </xdr:to>
    <xdr:sp macro="" textlink="$D$29">
      <xdr:nvSpPr>
        <xdr:cNvPr id="77" name="Rectangle 76">
          <a:extLst>
            <a:ext uri="{FF2B5EF4-FFF2-40B4-BE49-F238E27FC236}">
              <a16:creationId xmlns="" xmlns:a16="http://schemas.microsoft.com/office/drawing/2014/main" id="{00000000-0008-0000-0000-00004D000000}"/>
            </a:ext>
          </a:extLst>
        </xdr:cNvPr>
        <xdr:cNvSpPr/>
      </xdr:nvSpPr>
      <xdr:spPr>
        <a:xfrm>
          <a:off x="8023859" y="4973954"/>
          <a:ext cx="990601" cy="169545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041A53E-4180-4EC5-9CD4-4DA6345D310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Site Mill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472440</xdr:colOff>
      <xdr:row>28</xdr:row>
      <xdr:rowOff>180975</xdr:rowOff>
    </xdr:from>
    <xdr:to>
      <xdr:col>16</xdr:col>
      <xdr:colOff>175260</xdr:colOff>
      <xdr:row>30</xdr:row>
      <xdr:rowOff>30480</xdr:rowOff>
    </xdr:to>
    <xdr:sp macro="" textlink="$D$31">
      <xdr:nvSpPr>
        <xdr:cNvPr id="78" name="Rectangle 77">
          <a:extLst>
            <a:ext uri="{FF2B5EF4-FFF2-40B4-BE49-F238E27FC236}">
              <a16:creationId xmlns="" xmlns:a16="http://schemas.microsoft.com/office/drawing/2014/main" id="{00000000-0008-0000-0000-00004E000000}"/>
            </a:ext>
          </a:extLst>
        </xdr:cNvPr>
        <xdr:cNvSpPr/>
      </xdr:nvSpPr>
      <xdr:spPr>
        <a:xfrm>
          <a:off x="9189720" y="4973955"/>
          <a:ext cx="967740" cy="169545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1ED0E58-0AC1-4659-B544-0466ECB2B50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CSR Site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342899</xdr:colOff>
      <xdr:row>28</xdr:row>
      <xdr:rowOff>180975</xdr:rowOff>
    </xdr:from>
    <xdr:to>
      <xdr:col>18</xdr:col>
      <xdr:colOff>38100</xdr:colOff>
      <xdr:row>30</xdr:row>
      <xdr:rowOff>15240</xdr:rowOff>
    </xdr:to>
    <xdr:sp macro="" textlink="$D$33">
      <xdr:nvSpPr>
        <xdr:cNvPr id="79" name="Rectangle 78">
          <a:extLst>
            <a:ext uri="{FF2B5EF4-FFF2-40B4-BE49-F238E27FC236}">
              <a16:creationId xmlns="" xmlns:a16="http://schemas.microsoft.com/office/drawing/2014/main" id="{00000000-0008-0000-0000-00004F000000}"/>
            </a:ext>
          </a:extLst>
        </xdr:cNvPr>
        <xdr:cNvSpPr/>
      </xdr:nvSpPr>
      <xdr:spPr>
        <a:xfrm>
          <a:off x="10325099" y="4973955"/>
          <a:ext cx="960121" cy="154305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95B4198-BA55-4A19-B4E5-F87315C32B48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D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152399</xdr:colOff>
      <xdr:row>28</xdr:row>
      <xdr:rowOff>180975</xdr:rowOff>
    </xdr:from>
    <xdr:to>
      <xdr:col>19</xdr:col>
      <xdr:colOff>457200</xdr:colOff>
      <xdr:row>30</xdr:row>
      <xdr:rowOff>30481</xdr:rowOff>
    </xdr:to>
    <xdr:sp macro="" textlink="$D$35">
      <xdr:nvSpPr>
        <xdr:cNvPr id="80" name="Rectangle 79">
          <a:extLst>
            <a:ext uri="{FF2B5EF4-FFF2-40B4-BE49-F238E27FC236}">
              <a16:creationId xmlns="" xmlns:a16="http://schemas.microsoft.com/office/drawing/2014/main" id="{00000000-0008-0000-0000-000050000000}"/>
            </a:ext>
          </a:extLst>
        </xdr:cNvPr>
        <xdr:cNvSpPr/>
      </xdr:nvSpPr>
      <xdr:spPr>
        <a:xfrm>
          <a:off x="11399519" y="4966335"/>
          <a:ext cx="937261" cy="169546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08E5098-89E3-4CE3-9CDA-5DF4184A859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E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584835</xdr:colOff>
      <xdr:row>36</xdr:row>
      <xdr:rowOff>175260</xdr:rowOff>
    </xdr:from>
    <xdr:to>
      <xdr:col>14</xdr:col>
      <xdr:colOff>289560</xdr:colOff>
      <xdr:row>39</xdr:row>
      <xdr:rowOff>7620</xdr:rowOff>
    </xdr:to>
    <xdr:sp macro="" textlink="$D$37">
      <xdr:nvSpPr>
        <xdr:cNvPr id="81" name="Rectangle 80">
          <a:extLst>
            <a:ext uri="{FF2B5EF4-FFF2-40B4-BE49-F238E27FC236}">
              <a16:creationId xmlns="" xmlns:a16="http://schemas.microsoft.com/office/drawing/2014/main" id="{00000000-0008-0000-0000-000051000000}"/>
            </a:ext>
          </a:extLst>
        </xdr:cNvPr>
        <xdr:cNvSpPr/>
      </xdr:nvSpPr>
      <xdr:spPr>
        <a:xfrm>
          <a:off x="8037195" y="6248400"/>
          <a:ext cx="969645" cy="1524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FA22B78-C812-4460-91CF-8524F58CCB9E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F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824864</xdr:colOff>
      <xdr:row>50</xdr:row>
      <xdr:rowOff>95250</xdr:rowOff>
    </xdr:from>
    <xdr:to>
      <xdr:col>5</xdr:col>
      <xdr:colOff>508634</xdr:colOff>
      <xdr:row>51</xdr:row>
      <xdr:rowOff>0</xdr:rowOff>
    </xdr:to>
    <xdr:sp macro="" textlink="">
      <xdr:nvSpPr>
        <xdr:cNvPr id="82" name="Rectangle 81">
          <a:extLst>
            <a:ext uri="{FF2B5EF4-FFF2-40B4-BE49-F238E27FC236}">
              <a16:creationId xmlns="" xmlns:a16="http://schemas.microsoft.com/office/drawing/2014/main" id="{00000000-0008-0000-0000-000052000000}"/>
            </a:ext>
          </a:extLst>
        </xdr:cNvPr>
        <xdr:cNvSpPr/>
      </xdr:nvSpPr>
      <xdr:spPr>
        <a:xfrm>
          <a:off x="2303144" y="9033510"/>
          <a:ext cx="1360170" cy="17907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0"/>
        <a:lstStyle/>
        <a:p>
          <a:pPr algn="ctr"/>
          <a:r>
            <a:rPr lang="en-US" sz="1050">
              <a:solidFill>
                <a:schemeClr val="bg1">
                  <a:lumMod val="75000"/>
                </a:schemeClr>
              </a:solidFill>
            </a:rPr>
            <a:t>Tuliskan nama</a:t>
          </a:r>
          <a:r>
            <a:rPr lang="en-US" sz="1050" baseline="0">
              <a:solidFill>
                <a:schemeClr val="bg1">
                  <a:lumMod val="75000"/>
                </a:schemeClr>
              </a:solidFill>
            </a:rPr>
            <a:t> disini</a:t>
          </a:r>
          <a:endParaRPr lang="id-ID" sz="105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668655</xdr:colOff>
      <xdr:row>50</xdr:row>
      <xdr:rowOff>95249</xdr:rowOff>
    </xdr:from>
    <xdr:to>
      <xdr:col>3</xdr:col>
      <xdr:colOff>649605</xdr:colOff>
      <xdr:row>51</xdr:row>
      <xdr:rowOff>1904</xdr:rowOff>
    </xdr:to>
    <xdr:sp macro="" textlink="">
      <xdr:nvSpPr>
        <xdr:cNvPr id="83" name="Rectangle 82">
          <a:extLst>
            <a:ext uri="{FF2B5EF4-FFF2-40B4-BE49-F238E27FC236}">
              <a16:creationId xmlns="" xmlns:a16="http://schemas.microsoft.com/office/drawing/2014/main" id="{00000000-0008-0000-0000-000053000000}"/>
            </a:ext>
          </a:extLst>
        </xdr:cNvPr>
        <xdr:cNvSpPr/>
      </xdr:nvSpPr>
      <xdr:spPr>
        <a:xfrm>
          <a:off x="752475" y="9033509"/>
          <a:ext cx="1375410" cy="180975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0"/>
        <a:lstStyle/>
        <a:p>
          <a:pPr algn="ctr"/>
          <a:r>
            <a:rPr lang="en-US" sz="1050">
              <a:solidFill>
                <a:schemeClr val="bg1">
                  <a:lumMod val="75000"/>
                </a:schemeClr>
              </a:solidFill>
            </a:rPr>
            <a:t>Tuliskan nama disini</a:t>
          </a:r>
        </a:p>
      </xdr:txBody>
    </xdr:sp>
    <xdr:clientData/>
  </xdr:twoCellAnchor>
  <xdr:twoCellAnchor editAs="oneCell">
    <xdr:from>
      <xdr:col>1</xdr:col>
      <xdr:colOff>19050</xdr:colOff>
      <xdr:row>0</xdr:row>
      <xdr:rowOff>88900</xdr:rowOff>
    </xdr:from>
    <xdr:to>
      <xdr:col>3</xdr:col>
      <xdr:colOff>155928</xdr:colOff>
      <xdr:row>2</xdr:row>
      <xdr:rowOff>197408</xdr:rowOff>
    </xdr:to>
    <xdr:pic>
      <xdr:nvPicPr>
        <xdr:cNvPr id="84" name="Picture 83">
          <a:extLst>
            <a:ext uri="{FF2B5EF4-FFF2-40B4-BE49-F238E27FC236}">
              <a16:creationId xmlns=""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" y="88900"/>
          <a:ext cx="1531338" cy="542848"/>
        </a:xfrm>
        <a:prstGeom prst="rect">
          <a:avLst/>
        </a:prstGeom>
      </xdr:spPr>
    </xdr:pic>
    <xdr:clientData/>
  </xdr:twoCellAnchor>
  <xdr:twoCellAnchor editAs="oneCell">
    <xdr:from>
      <xdr:col>11</xdr:col>
      <xdr:colOff>133350</xdr:colOff>
      <xdr:row>0</xdr:row>
      <xdr:rowOff>82550</xdr:rowOff>
    </xdr:from>
    <xdr:to>
      <xdr:col>13</xdr:col>
      <xdr:colOff>409928</xdr:colOff>
      <xdr:row>2</xdr:row>
      <xdr:rowOff>191058</xdr:rowOff>
    </xdr:to>
    <xdr:pic>
      <xdr:nvPicPr>
        <xdr:cNvPr id="85" name="Picture 84">
          <a:extLst>
            <a:ext uri="{FF2B5EF4-FFF2-40B4-BE49-F238E27FC236}">
              <a16:creationId xmlns=""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0" y="82550"/>
          <a:ext cx="1541498" cy="542848"/>
        </a:xfrm>
        <a:prstGeom prst="rect">
          <a:avLst/>
        </a:prstGeom>
      </xdr:spPr>
    </xdr:pic>
    <xdr:clientData/>
  </xdr:twoCellAnchor>
  <xdr:twoCellAnchor>
    <xdr:from>
      <xdr:col>12</xdr:col>
      <xdr:colOff>530456</xdr:colOff>
      <xdr:row>14</xdr:row>
      <xdr:rowOff>38100</xdr:rowOff>
    </xdr:from>
    <xdr:to>
      <xdr:col>14</xdr:col>
      <xdr:colOff>251902</xdr:colOff>
      <xdr:row>21</xdr:row>
      <xdr:rowOff>183711</xdr:rowOff>
    </xdr:to>
    <xdr:grpSp>
      <xdr:nvGrpSpPr>
        <xdr:cNvPr id="87" name="Group 86">
          <a:extLst>
            <a:ext uri="{FF2B5EF4-FFF2-40B4-BE49-F238E27FC236}">
              <a16:creationId xmlns="" xmlns:a16="http://schemas.microsoft.com/office/drawing/2014/main" id="{00000000-0008-0000-0000-000057000000}"/>
            </a:ext>
          </a:extLst>
        </xdr:cNvPr>
        <xdr:cNvGrpSpPr/>
      </xdr:nvGrpSpPr>
      <xdr:grpSpPr>
        <a:xfrm>
          <a:off x="8080606" y="2641600"/>
          <a:ext cx="1004146" cy="1187011"/>
          <a:chOff x="8083594" y="1064394"/>
          <a:chExt cx="944033" cy="1242773"/>
        </a:xfrm>
      </xdr:grpSpPr>
      <xdr:grpSp>
        <xdr:nvGrpSpPr>
          <xdr:cNvPr id="88" name="Group 22">
            <a:extLst>
              <a:ext uri="{FF2B5EF4-FFF2-40B4-BE49-F238E27FC236}">
                <a16:creationId xmlns="" xmlns:a16="http://schemas.microsoft.com/office/drawing/2014/main" id="{00000000-0008-0000-0000-000058000000}"/>
              </a:ext>
            </a:extLst>
          </xdr:cNvPr>
          <xdr:cNvGrpSpPr>
            <a:grpSpLocks/>
          </xdr:cNvGrpSpPr>
        </xdr:nvGrpSpPr>
        <xdr:grpSpPr bwMode="auto">
          <a:xfrm>
            <a:off x="8085709" y="1064394"/>
            <a:ext cx="937683" cy="1084023"/>
            <a:chOff x="281" y="378"/>
            <a:chExt cx="89" cy="112"/>
          </a:xfrm>
        </xdr:grpSpPr>
        <xdr:sp macro="" textlink="">
          <xdr:nvSpPr>
            <xdr:cNvPr id="90" name="Rectangle 1">
              <a:extLst>
                <a:ext uri="{FF2B5EF4-FFF2-40B4-BE49-F238E27FC236}">
                  <a16:creationId xmlns="" xmlns:a16="http://schemas.microsoft.com/office/drawing/2014/main" id="{00000000-0008-0000-0000-00005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1" y="378"/>
              <a:ext cx="89" cy="96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" name="Text Box 5">
              <a:extLst>
                <a:ext uri="{FF2B5EF4-FFF2-40B4-BE49-F238E27FC236}">
                  <a16:creationId xmlns="" xmlns:a16="http://schemas.microsoft.com/office/drawing/2014/main" id="{00000000-0008-0000-0000-00005B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81" y="474"/>
              <a:ext cx="89" cy="16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1">
                <a:defRPr sz="1000"/>
              </a:pPr>
              <a:endParaRPr lang="en-US" sz="800" b="0" i="0" strike="noStrike">
                <a:solidFill>
                  <a:srgbClr val="000000"/>
                </a:solidFill>
                <a:latin typeface="Trebuchet MS"/>
              </a:endParaRPr>
            </a:p>
          </xdr:txBody>
        </xdr:sp>
      </xdr:grpSp>
      <xdr:sp macro="" textlink="">
        <xdr:nvSpPr>
          <xdr:cNvPr id="89" name="Text Box 5">
            <a:extLst>
              <a:ext uri="{FF2B5EF4-FFF2-40B4-BE49-F238E27FC236}">
                <a16:creationId xmlns="" xmlns:a16="http://schemas.microsoft.com/office/drawing/2014/main" id="{00000000-0008-0000-0000-00005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83594" y="2148409"/>
            <a:ext cx="944033" cy="158758"/>
          </a:xfrm>
          <a:prstGeom prst="rect">
            <a:avLst/>
          </a:prstGeom>
          <a:solidFill>
            <a:srgbClr val="FFFFFF"/>
          </a:solidFill>
          <a:ln w="9525">
            <a:solidFill>
              <a:schemeClr val="bg1">
                <a:lumMod val="65000"/>
              </a:schemeClr>
            </a:solidFill>
            <a:miter lim="800000"/>
            <a:headEnd/>
            <a:tailEnd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27432" tIns="32004" rIns="27432" bIns="0" anchor="ctr" upright="1"/>
          <a:lstStyle/>
          <a:p>
            <a:pPr algn="ctr" rtl="1">
              <a:defRPr sz="1000"/>
            </a:pPr>
            <a:r>
              <a:rPr lang="en-US" sz="800" b="0" i="0" strike="noStrike" baseline="0">
                <a:ln>
                  <a:solidFill>
                    <a:schemeClr val="tx1"/>
                  </a:solidFill>
                </a:ln>
                <a:solidFill>
                  <a:srgbClr val="000000"/>
                </a:solidFill>
                <a:latin typeface="Trebuchet MS"/>
              </a:rPr>
              <a:t>TEMA LEADER</a:t>
            </a:r>
            <a:endParaRPr lang="en-US" sz="800" b="0" i="0" strike="noStrike">
              <a:ln>
                <a:solidFill>
                  <a:schemeClr val="tx1"/>
                </a:solidFill>
              </a:ln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xdr:twoCellAnchor>
    <xdr:from>
      <xdr:col>12</xdr:col>
      <xdr:colOff>495300</xdr:colOff>
      <xdr:row>19</xdr:row>
      <xdr:rowOff>211666</xdr:rowOff>
    </xdr:from>
    <xdr:to>
      <xdr:col>14</xdr:col>
      <xdr:colOff>287020</xdr:colOff>
      <xdr:row>21</xdr:row>
      <xdr:rowOff>33443</xdr:rowOff>
    </xdr:to>
    <xdr:sp macro="" textlink="D$24">
      <xdr:nvSpPr>
        <xdr:cNvPr id="92" name="Rectangle 91">
          <a:extLst>
            <a:ext uri="{FF2B5EF4-FFF2-40B4-BE49-F238E27FC236}">
              <a16:creationId xmlns="" xmlns:a16="http://schemas.microsoft.com/office/drawing/2014/main" id="{00000000-0008-0000-0000-00005C000000}"/>
            </a:ext>
          </a:extLst>
        </xdr:cNvPr>
        <xdr:cNvSpPr/>
      </xdr:nvSpPr>
      <xdr:spPr>
        <a:xfrm>
          <a:off x="7947660" y="3442546"/>
          <a:ext cx="1056640" cy="141817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748BF00-4971-4DAF-B683-D32B890F5DD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b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434852</xdr:colOff>
      <xdr:row>13</xdr:row>
      <xdr:rowOff>84670</xdr:rowOff>
    </xdr:from>
    <xdr:ext cx="2035364" cy="233205"/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289302" y="2415120"/>
          <a:ext cx="2035364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r>
            <a:rPr lang="en-US" sz="900" i="1"/>
            <a:t>(di</a:t>
          </a:r>
          <a:r>
            <a:rPr lang="en-US" sz="900" i="1" baseline="0"/>
            <a:t>isi </a:t>
          </a:r>
          <a:r>
            <a:rPr lang="en-US" sz="900" i="1"/>
            <a:t>pembentukan group pertama kali)</a:t>
          </a:r>
        </a:p>
      </xdr:txBody>
    </xdr:sp>
    <xdr:clientData/>
  </xdr:oneCellAnchor>
  <xdr:oneCellAnchor>
    <xdr:from>
      <xdr:col>2</xdr:col>
      <xdr:colOff>23962</xdr:colOff>
      <xdr:row>39</xdr:row>
      <xdr:rowOff>32812</xdr:rowOff>
    </xdr:from>
    <xdr:ext cx="3271728" cy="233205"/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08262" y="6605062"/>
          <a:ext cx="3271728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r>
            <a:rPr lang="en-US" sz="900" i="1"/>
            <a:t>(di</a:t>
          </a:r>
          <a:r>
            <a:rPr lang="en-US" sz="900" i="1" baseline="0"/>
            <a:t>isi jika group sudah pernah menyelesaikan diatas satu tema </a:t>
          </a:r>
          <a:r>
            <a:rPr lang="en-US" sz="900" i="1"/>
            <a:t>)</a:t>
          </a:r>
        </a:p>
      </xdr:txBody>
    </xdr:sp>
    <xdr:clientData/>
  </xdr:oneCellAnchor>
  <xdr:twoCellAnchor>
    <xdr:from>
      <xdr:col>14</xdr:col>
      <xdr:colOff>443793</xdr:colOff>
      <xdr:row>7</xdr:row>
      <xdr:rowOff>6066</xdr:rowOff>
    </xdr:from>
    <xdr:to>
      <xdr:col>16</xdr:col>
      <xdr:colOff>161245</xdr:colOff>
      <xdr:row>13</xdr:row>
      <xdr:rowOff>274319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9276643" y="1339566"/>
          <a:ext cx="1000152" cy="1258853"/>
          <a:chOff x="8083594" y="1064394"/>
          <a:chExt cx="944033" cy="1242772"/>
        </a:xfrm>
      </xdr:grpSpPr>
      <xdr:grpSp>
        <xdr:nvGrpSpPr>
          <xdr:cNvPr id="7" name="Group 22">
            <a:extLst>
              <a:ext uri="{FF2B5EF4-FFF2-40B4-BE49-F238E27FC236}">
                <a16:creationId xmlns="" xmlns:a16="http://schemas.microsoft.com/office/drawing/2014/main" id="{00000000-0008-0000-0100-000007000000}"/>
              </a:ext>
            </a:extLst>
          </xdr:cNvPr>
          <xdr:cNvGrpSpPr>
            <a:grpSpLocks/>
          </xdr:cNvGrpSpPr>
        </xdr:nvGrpSpPr>
        <xdr:grpSpPr bwMode="auto">
          <a:xfrm>
            <a:off x="8085709" y="1064394"/>
            <a:ext cx="937683" cy="1084023"/>
            <a:chOff x="281" y="378"/>
            <a:chExt cx="89" cy="112"/>
          </a:xfrm>
        </xdr:grpSpPr>
        <xdr:sp macro="" textlink="">
          <xdr:nvSpPr>
            <xdr:cNvPr id="9" name="Rectangle 1">
              <a:extLst>
                <a:ext uri="{FF2B5EF4-FFF2-40B4-BE49-F238E27FC236}">
                  <a16:creationId xmlns="" xmlns:a16="http://schemas.microsoft.com/office/drawing/2014/main" id="{00000000-0008-0000-01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1" y="378"/>
              <a:ext cx="89" cy="96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Text Box 5">
              <a:extLst>
                <a:ext uri="{FF2B5EF4-FFF2-40B4-BE49-F238E27FC236}">
                  <a16:creationId xmlns="" xmlns:a16="http://schemas.microsoft.com/office/drawing/2014/main" id="{00000000-0008-0000-0100-00000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81" y="474"/>
              <a:ext cx="89" cy="16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1">
                <a:defRPr sz="1000"/>
              </a:pPr>
              <a:endParaRPr lang="en-US" sz="800" b="0" i="0" strike="noStrike">
                <a:solidFill>
                  <a:srgbClr val="000000"/>
                </a:solidFill>
                <a:latin typeface="Trebuchet MS"/>
              </a:endParaRPr>
            </a:p>
          </xdr:txBody>
        </xdr:sp>
      </xdr:grpSp>
      <xdr:sp macro="" textlink="">
        <xdr:nvSpPr>
          <xdr:cNvPr id="8" name="Text Box 5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83594" y="2148408"/>
            <a:ext cx="944033" cy="158758"/>
          </a:xfrm>
          <a:prstGeom prst="rect">
            <a:avLst/>
          </a:prstGeom>
          <a:solidFill>
            <a:srgbClr val="FFFFFF"/>
          </a:solidFill>
          <a:ln w="9525">
            <a:solidFill>
              <a:schemeClr val="bg1">
                <a:lumMod val="65000"/>
              </a:schemeClr>
            </a:solidFill>
            <a:miter lim="800000"/>
            <a:headEnd/>
            <a:tailEnd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27432" tIns="32004" rIns="27432" bIns="0" anchor="ctr" upright="1"/>
          <a:lstStyle/>
          <a:p>
            <a:pPr algn="ctr" rtl="1">
              <a:defRPr sz="1000"/>
            </a:pPr>
            <a:r>
              <a:rPr lang="en-US" sz="800" b="0" i="0" strike="noStrike">
                <a:ln>
                  <a:solidFill>
                    <a:schemeClr val="tx1"/>
                  </a:solidFill>
                </a:ln>
                <a:solidFill>
                  <a:srgbClr val="000000"/>
                </a:solidFill>
                <a:latin typeface="Trebuchet MS"/>
              </a:rPr>
              <a:t>FASILITATOR</a:t>
            </a:r>
          </a:p>
        </xdr:txBody>
      </xdr:sp>
    </xdr:grpSp>
    <xdr:clientData/>
  </xdr:twoCellAnchor>
  <xdr:twoCellAnchor>
    <xdr:from>
      <xdr:col>14</xdr:col>
      <xdr:colOff>459361</xdr:colOff>
      <xdr:row>14</xdr:row>
      <xdr:rowOff>0</xdr:rowOff>
    </xdr:from>
    <xdr:to>
      <xdr:col>16</xdr:col>
      <xdr:colOff>175727</xdr:colOff>
      <xdr:row>21</xdr:row>
      <xdr:rowOff>826</xdr:rowOff>
    </xdr:to>
    <xdr:grpSp>
      <xdr:nvGrpSpPr>
        <xdr:cNvPr id="11" name="Group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9292211" y="2603500"/>
          <a:ext cx="999066" cy="1042226"/>
          <a:chOff x="8083603" y="1064394"/>
          <a:chExt cx="944034" cy="1242771"/>
        </a:xfrm>
      </xdr:grpSpPr>
      <xdr:grpSp>
        <xdr:nvGrpSpPr>
          <xdr:cNvPr id="12" name="Group 22">
            <a:extLst>
              <a:ext uri="{FF2B5EF4-FFF2-40B4-BE49-F238E27FC236}">
                <a16:creationId xmlns="" xmlns:a16="http://schemas.microsoft.com/office/drawing/2014/main" id="{00000000-0008-0000-0100-00000C000000}"/>
              </a:ext>
            </a:extLst>
          </xdr:cNvPr>
          <xdr:cNvGrpSpPr>
            <a:grpSpLocks/>
          </xdr:cNvGrpSpPr>
        </xdr:nvGrpSpPr>
        <xdr:grpSpPr bwMode="auto">
          <a:xfrm>
            <a:off x="8085709" y="1064394"/>
            <a:ext cx="937683" cy="1084023"/>
            <a:chOff x="281" y="378"/>
            <a:chExt cx="89" cy="112"/>
          </a:xfrm>
        </xdr:grpSpPr>
        <xdr:sp macro="" textlink="">
          <xdr:nvSpPr>
            <xdr:cNvPr id="14" name="Rectangle 1">
              <a:extLst>
                <a:ext uri="{FF2B5EF4-FFF2-40B4-BE49-F238E27FC236}">
                  <a16:creationId xmlns="" xmlns:a16="http://schemas.microsoft.com/office/drawing/2014/main" id="{00000000-0008-0000-0100-00000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1" y="378"/>
              <a:ext cx="89" cy="96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5" name="Text Box 5">
              <a:extLst>
                <a:ext uri="{FF2B5EF4-FFF2-40B4-BE49-F238E27FC236}">
                  <a16:creationId xmlns="" xmlns:a16="http://schemas.microsoft.com/office/drawing/2014/main" id="{00000000-0008-0000-0100-00000F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81" y="474"/>
              <a:ext cx="89" cy="16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1">
                <a:defRPr sz="1000"/>
              </a:pPr>
              <a:endParaRPr lang="en-US" sz="800" b="0" i="0" strike="noStrike">
                <a:solidFill>
                  <a:srgbClr val="000000"/>
                </a:solidFill>
                <a:latin typeface="Trebuchet MS"/>
              </a:endParaRPr>
            </a:p>
          </xdr:txBody>
        </xdr:sp>
      </xdr:grpSp>
      <xdr:sp macro="" textlink="">
        <xdr:nvSpPr>
          <xdr:cNvPr id="13" name="Text Box 5">
            <a:extLst>
              <a:ext uri="{FF2B5EF4-FFF2-40B4-BE49-F238E27FC236}">
                <a16:creationId xmlns="" xmlns:a16="http://schemas.microsoft.com/office/drawing/2014/main" id="{00000000-0008-0000-0100-00000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83603" y="2148407"/>
            <a:ext cx="944034" cy="158758"/>
          </a:xfrm>
          <a:prstGeom prst="rect">
            <a:avLst/>
          </a:prstGeom>
          <a:solidFill>
            <a:srgbClr val="FFFFFF"/>
          </a:solidFill>
          <a:ln w="9525">
            <a:solidFill>
              <a:schemeClr val="bg1">
                <a:lumMod val="65000"/>
              </a:schemeClr>
            </a:solidFill>
            <a:miter lim="800000"/>
            <a:headEnd/>
            <a:tailEnd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27432" tIns="32004" rIns="27432" bIns="0" anchor="ctr" upright="1"/>
          <a:lstStyle/>
          <a:p>
            <a:pPr algn="ctr" rtl="1">
              <a:defRPr sz="1000"/>
            </a:pPr>
            <a:r>
              <a:rPr lang="en-US" sz="800" b="0" i="0" strike="noStrike">
                <a:ln>
                  <a:solidFill>
                    <a:schemeClr val="tx1"/>
                  </a:solidFill>
                </a:ln>
                <a:solidFill>
                  <a:srgbClr val="000000"/>
                </a:solidFill>
                <a:latin typeface="Trebuchet MS"/>
              </a:rPr>
              <a:t>PROJECT LEADER</a:t>
            </a:r>
          </a:p>
        </xdr:txBody>
      </xdr:sp>
    </xdr:grpSp>
    <xdr:clientData/>
  </xdr:twoCellAnchor>
  <xdr:twoCellAnchor>
    <xdr:from>
      <xdr:col>16</xdr:col>
      <xdr:colOff>319636</xdr:colOff>
      <xdr:row>14</xdr:row>
      <xdr:rowOff>0</xdr:rowOff>
    </xdr:from>
    <xdr:to>
      <xdr:col>18</xdr:col>
      <xdr:colOff>36003</xdr:colOff>
      <xdr:row>21</xdr:row>
      <xdr:rowOff>186674</xdr:rowOff>
    </xdr:to>
    <xdr:grpSp>
      <xdr:nvGrpSpPr>
        <xdr:cNvPr id="16" name="Group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10435186" y="2603500"/>
          <a:ext cx="999067" cy="1228074"/>
          <a:chOff x="8083594" y="1064394"/>
          <a:chExt cx="944033" cy="1258861"/>
        </a:xfrm>
      </xdr:grpSpPr>
      <xdr:grpSp>
        <xdr:nvGrpSpPr>
          <xdr:cNvPr id="17" name="Group 22">
            <a:extLst>
              <a:ext uri="{FF2B5EF4-FFF2-40B4-BE49-F238E27FC236}">
                <a16:creationId xmlns="" xmlns:a16="http://schemas.microsoft.com/office/drawing/2014/main" id="{00000000-0008-0000-0100-000011000000}"/>
              </a:ext>
            </a:extLst>
          </xdr:cNvPr>
          <xdr:cNvGrpSpPr>
            <a:grpSpLocks/>
          </xdr:cNvGrpSpPr>
        </xdr:nvGrpSpPr>
        <xdr:grpSpPr bwMode="auto">
          <a:xfrm>
            <a:off x="8085709" y="1064394"/>
            <a:ext cx="937683" cy="1084023"/>
            <a:chOff x="281" y="378"/>
            <a:chExt cx="89" cy="112"/>
          </a:xfrm>
        </xdr:grpSpPr>
        <xdr:sp macro="" textlink="">
          <xdr:nvSpPr>
            <xdr:cNvPr id="19" name="Rectangle 1">
              <a:extLst>
                <a:ext uri="{FF2B5EF4-FFF2-40B4-BE49-F238E27FC236}">
                  <a16:creationId xmlns="" xmlns:a16="http://schemas.microsoft.com/office/drawing/2014/main" id="{00000000-0008-0000-0100-00001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1" y="378"/>
              <a:ext cx="89" cy="96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" name="Text Box 5">
              <a:extLst>
                <a:ext uri="{FF2B5EF4-FFF2-40B4-BE49-F238E27FC236}">
                  <a16:creationId xmlns="" xmlns:a16="http://schemas.microsoft.com/office/drawing/2014/main" id="{00000000-0008-0000-0100-00001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81" y="474"/>
              <a:ext cx="89" cy="16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1">
                <a:defRPr sz="1000"/>
              </a:pPr>
              <a:endParaRPr lang="en-US" sz="800" b="0" i="0" strike="noStrike">
                <a:solidFill>
                  <a:srgbClr val="000000"/>
                </a:solidFill>
                <a:latin typeface="Trebuchet MS"/>
              </a:endParaRPr>
            </a:p>
          </xdr:txBody>
        </xdr:sp>
      </xdr:grpSp>
      <xdr:sp macro="" textlink="">
        <xdr:nvSpPr>
          <xdr:cNvPr id="18" name="Text Box 5">
            <a:extLst>
              <a:ext uri="{FF2B5EF4-FFF2-40B4-BE49-F238E27FC236}">
                <a16:creationId xmlns="" xmlns:a16="http://schemas.microsoft.com/office/drawing/2014/main" id="{00000000-0008-0000-0100-00001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83594" y="2164497"/>
            <a:ext cx="944033" cy="158758"/>
          </a:xfrm>
          <a:prstGeom prst="rect">
            <a:avLst/>
          </a:prstGeom>
          <a:solidFill>
            <a:srgbClr val="FFFFFF"/>
          </a:solidFill>
          <a:ln w="9525">
            <a:solidFill>
              <a:schemeClr val="bg1">
                <a:lumMod val="65000"/>
              </a:schemeClr>
            </a:solidFill>
            <a:miter lim="800000"/>
            <a:headEnd/>
            <a:tailEnd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27432" tIns="32004" rIns="27432" bIns="0" anchor="ctr" upright="1"/>
          <a:lstStyle/>
          <a:p>
            <a:pPr algn="ctr" rtl="1">
              <a:defRPr sz="1000"/>
            </a:pPr>
            <a:r>
              <a:rPr lang="en-US" sz="800" b="0" i="0" strike="noStrike">
                <a:ln>
                  <a:solidFill>
                    <a:schemeClr val="tx1"/>
                  </a:solidFill>
                </a:ln>
                <a:solidFill>
                  <a:srgbClr val="000000"/>
                </a:solidFill>
                <a:latin typeface="Trebuchet MS"/>
              </a:rPr>
              <a:t>NOTULEN</a:t>
            </a:r>
          </a:p>
        </xdr:txBody>
      </xdr:sp>
    </xdr:grpSp>
    <xdr:clientData/>
  </xdr:twoCellAnchor>
  <xdr:twoCellAnchor>
    <xdr:from>
      <xdr:col>16</xdr:col>
      <xdr:colOff>334450</xdr:colOff>
      <xdr:row>23</xdr:row>
      <xdr:rowOff>170085</xdr:rowOff>
    </xdr:from>
    <xdr:to>
      <xdr:col>18</xdr:col>
      <xdr:colOff>44467</xdr:colOff>
      <xdr:row>30</xdr:row>
      <xdr:rowOff>3000</xdr:rowOff>
    </xdr:to>
    <xdr:grpSp>
      <xdr:nvGrpSpPr>
        <xdr:cNvPr id="26" name="Group 22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pSpPr>
          <a:grpSpLocks/>
        </xdr:cNvGrpSpPr>
      </xdr:nvGrpSpPr>
      <xdr:grpSpPr bwMode="auto">
        <a:xfrm>
          <a:off x="10450000" y="4145185"/>
          <a:ext cx="992717" cy="1102915"/>
          <a:chOff x="281" y="378"/>
          <a:chExt cx="89" cy="112"/>
        </a:xfrm>
      </xdr:grpSpPr>
      <xdr:sp macro="" textlink="">
        <xdr:nvSpPr>
          <xdr:cNvPr id="27" name="Rectangle 1">
            <a:extLst>
              <a:ext uri="{FF2B5EF4-FFF2-40B4-BE49-F238E27FC236}">
                <a16:creationId xmlns="" xmlns:a16="http://schemas.microsoft.com/office/drawing/2014/main" id="{00000000-0008-0000-01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81" y="378"/>
            <a:ext cx="89" cy="9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8" name="Text Box 5">
            <a:extLst>
              <a:ext uri="{FF2B5EF4-FFF2-40B4-BE49-F238E27FC236}">
                <a16:creationId xmlns="" xmlns:a16="http://schemas.microsoft.com/office/drawing/2014/main" id="{00000000-0008-0000-0100-00001C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1" y="474"/>
            <a:ext cx="89" cy="16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32004" rIns="27432" bIns="0" anchor="t" upright="1"/>
          <a:lstStyle/>
          <a:p>
            <a:pPr algn="ctr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xdr:twoCellAnchor>
    <xdr:from>
      <xdr:col>12</xdr:col>
      <xdr:colOff>571522</xdr:colOff>
      <xdr:row>23</xdr:row>
      <xdr:rowOff>167973</xdr:rowOff>
    </xdr:from>
    <xdr:to>
      <xdr:col>14</xdr:col>
      <xdr:colOff>285772</xdr:colOff>
      <xdr:row>30</xdr:row>
      <xdr:rowOff>888</xdr:rowOff>
    </xdr:to>
    <xdr:grpSp>
      <xdr:nvGrpSpPr>
        <xdr:cNvPr id="29" name="Group 22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pSpPr>
          <a:grpSpLocks/>
        </xdr:cNvGrpSpPr>
      </xdr:nvGrpSpPr>
      <xdr:grpSpPr bwMode="auto">
        <a:xfrm>
          <a:off x="8121672" y="4143073"/>
          <a:ext cx="996950" cy="1102915"/>
          <a:chOff x="281" y="378"/>
          <a:chExt cx="89" cy="112"/>
        </a:xfrm>
      </xdr:grpSpPr>
      <xdr:sp macro="" textlink="">
        <xdr:nvSpPr>
          <xdr:cNvPr id="30" name="Rectangle 1">
            <a:extLst>
              <a:ext uri="{FF2B5EF4-FFF2-40B4-BE49-F238E27FC236}">
                <a16:creationId xmlns="" xmlns:a16="http://schemas.microsoft.com/office/drawing/2014/main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281" y="378"/>
            <a:ext cx="89" cy="9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" name="Text Box 5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1" y="474"/>
            <a:ext cx="89" cy="16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32004" rIns="27432" bIns="0" anchor="t" upright="1"/>
          <a:lstStyle/>
          <a:p>
            <a:pPr algn="ctr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xdr:twoCellAnchor>
    <xdr:from>
      <xdr:col>11</xdr:col>
      <xdr:colOff>173583</xdr:colOff>
      <xdr:row>23</xdr:row>
      <xdr:rowOff>167968</xdr:rowOff>
    </xdr:from>
    <xdr:to>
      <xdr:col>12</xdr:col>
      <xdr:colOff>497433</xdr:colOff>
      <xdr:row>30</xdr:row>
      <xdr:rowOff>883</xdr:rowOff>
    </xdr:to>
    <xdr:grpSp>
      <xdr:nvGrpSpPr>
        <xdr:cNvPr id="32" name="Group 22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GrpSpPr>
          <a:grpSpLocks/>
        </xdr:cNvGrpSpPr>
      </xdr:nvGrpSpPr>
      <xdr:grpSpPr bwMode="auto">
        <a:xfrm>
          <a:off x="7082383" y="4143068"/>
          <a:ext cx="965200" cy="1102915"/>
          <a:chOff x="281" y="378"/>
          <a:chExt cx="89" cy="112"/>
        </a:xfrm>
      </xdr:grpSpPr>
      <xdr:sp macro="" textlink="">
        <xdr:nvSpPr>
          <xdr:cNvPr id="33" name="Rectangle 1">
            <a:extLst>
              <a:ext uri="{FF2B5EF4-FFF2-40B4-BE49-F238E27FC236}">
                <a16:creationId xmlns="" xmlns:a16="http://schemas.microsoft.com/office/drawing/2014/main" id="{00000000-0008-0000-01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281" y="378"/>
            <a:ext cx="89" cy="9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4" name="Text Box 5">
            <a:extLst>
              <a:ext uri="{FF2B5EF4-FFF2-40B4-BE49-F238E27FC236}">
                <a16:creationId xmlns="" xmlns:a16="http://schemas.microsoft.com/office/drawing/2014/main" id="{00000000-0008-0000-0100-00002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1" y="474"/>
            <a:ext cx="89" cy="16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32004" rIns="27432" bIns="0" anchor="t" upright="1"/>
          <a:lstStyle/>
          <a:p>
            <a:pPr algn="ctr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xdr:twoCellAnchor>
    <xdr:from>
      <xdr:col>18</xdr:col>
      <xdr:colOff>141812</xdr:colOff>
      <xdr:row>23</xdr:row>
      <xdr:rowOff>169333</xdr:rowOff>
    </xdr:from>
    <xdr:to>
      <xdr:col>19</xdr:col>
      <xdr:colOff>465661</xdr:colOff>
      <xdr:row>30</xdr:row>
      <xdr:rowOff>2248</xdr:rowOff>
    </xdr:to>
    <xdr:grpSp>
      <xdr:nvGrpSpPr>
        <xdr:cNvPr id="35" name="Group 22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GrpSpPr>
          <a:grpSpLocks/>
        </xdr:cNvGrpSpPr>
      </xdr:nvGrpSpPr>
      <xdr:grpSpPr bwMode="auto">
        <a:xfrm>
          <a:off x="11540062" y="4144433"/>
          <a:ext cx="965199" cy="1102915"/>
          <a:chOff x="281" y="378"/>
          <a:chExt cx="89" cy="112"/>
        </a:xfrm>
      </xdr:grpSpPr>
      <xdr:sp macro="" textlink="">
        <xdr:nvSpPr>
          <xdr:cNvPr id="36" name="Rectangle 1">
            <a:extLst>
              <a:ext uri="{FF2B5EF4-FFF2-40B4-BE49-F238E27FC236}">
                <a16:creationId xmlns="" xmlns:a16="http://schemas.microsoft.com/office/drawing/2014/main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281" y="378"/>
            <a:ext cx="89" cy="9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7" name="Text Box 5">
            <a:extLst>
              <a:ext uri="{FF2B5EF4-FFF2-40B4-BE49-F238E27FC236}">
                <a16:creationId xmlns="" xmlns:a16="http://schemas.microsoft.com/office/drawing/2014/main" id="{00000000-0008-0000-0100-00002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1" y="474"/>
            <a:ext cx="89" cy="16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32004" rIns="27432" bIns="0" anchor="t" upright="1"/>
          <a:lstStyle/>
          <a:p>
            <a:pPr algn="ctr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xdr:twoCellAnchor>
    <xdr:from>
      <xdr:col>14</xdr:col>
      <xdr:colOff>457218</xdr:colOff>
      <xdr:row>21</xdr:row>
      <xdr:rowOff>178555</xdr:rowOff>
    </xdr:from>
    <xdr:to>
      <xdr:col>16</xdr:col>
      <xdr:colOff>173584</xdr:colOff>
      <xdr:row>23</xdr:row>
      <xdr:rowOff>921</xdr:rowOff>
    </xdr:to>
    <xdr:sp macro="" textlink="">
      <xdr:nvSpPr>
        <xdr:cNvPr id="38" name="Text Box 5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SpPr txBox="1">
          <a:spLocks noChangeArrowheads="1"/>
        </xdr:cNvSpPr>
      </xdr:nvSpPr>
      <xdr:spPr bwMode="auto">
        <a:xfrm>
          <a:off x="9328168" y="3829805"/>
          <a:ext cx="999066" cy="152566"/>
        </a:xfrm>
        <a:prstGeom prst="rect">
          <a:avLst/>
        </a:prstGeom>
        <a:solidFill>
          <a:srgbClr val="FFFFFF"/>
        </a:solidFill>
        <a:ln w="9525">
          <a:solidFill>
            <a:schemeClr val="bg1">
              <a:lumMod val="65000"/>
            </a:schemeClr>
          </a:solidFill>
          <a:miter lim="800000"/>
          <a:headEnd/>
          <a:tailEnd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wrap="square" lIns="27432" tIns="32004" rIns="27432" bIns="0" anchor="ctr" upright="1"/>
        <a:lstStyle/>
        <a:p>
          <a:pPr algn="ctr" rtl="1">
            <a:defRPr sz="1000"/>
          </a:pPr>
          <a:r>
            <a:rPr lang="en-US" sz="800" b="0" i="0" strike="noStrike">
              <a:ln>
                <a:solidFill>
                  <a:schemeClr val="tx1"/>
                </a:solidFill>
              </a:ln>
              <a:solidFill>
                <a:srgbClr val="000000"/>
              </a:solidFill>
              <a:latin typeface="Trebuchet MS"/>
            </a:rPr>
            <a:t>ANGGOTA</a:t>
          </a:r>
        </a:p>
      </xdr:txBody>
    </xdr:sp>
    <xdr:clientData/>
  </xdr:twoCellAnchor>
  <xdr:twoCellAnchor>
    <xdr:from>
      <xdr:col>15</xdr:col>
      <xdr:colOff>315402</xdr:colOff>
      <xdr:row>21</xdr:row>
      <xdr:rowOff>826</xdr:rowOff>
    </xdr:from>
    <xdr:to>
      <xdr:col>15</xdr:col>
      <xdr:colOff>317545</xdr:colOff>
      <xdr:row>21</xdr:row>
      <xdr:rowOff>178555</xdr:rowOff>
    </xdr:to>
    <xdr:cxnSp macro="">
      <xdr:nvCxnSpPr>
        <xdr:cNvPr id="39" name="AutoShape 30">
          <a:extLst>
            <a:ext uri="{FF2B5EF4-FFF2-40B4-BE49-F238E27FC236}">
              <a16:creationId xmlns="" xmlns:a16="http://schemas.microsoft.com/office/drawing/2014/main" id="{00000000-0008-0000-0100-000027000000}"/>
            </a:ext>
          </a:extLst>
        </xdr:cNvPr>
        <xdr:cNvCxnSpPr>
          <a:cxnSpLocks noChangeShapeType="1"/>
          <a:stCxn id="13" idx="2"/>
          <a:endCxn id="38" idx="0"/>
        </xdr:cNvCxnSpPr>
      </xdr:nvCxnSpPr>
      <xdr:spPr bwMode="auto">
        <a:xfrm flipH="1">
          <a:off x="9827702" y="3646996"/>
          <a:ext cx="2143" cy="182809"/>
        </a:xfrm>
        <a:prstGeom prst="straightConnector1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cxnSp>
    <xdr:clientData/>
  </xdr:twoCellAnchor>
  <xdr:twoCellAnchor>
    <xdr:from>
      <xdr:col>14</xdr:col>
      <xdr:colOff>277302</xdr:colOff>
      <xdr:row>21</xdr:row>
      <xdr:rowOff>104571</xdr:rowOff>
    </xdr:from>
    <xdr:to>
      <xdr:col>16</xdr:col>
      <xdr:colOff>319636</xdr:colOff>
      <xdr:row>21</xdr:row>
      <xdr:rowOff>106687</xdr:rowOff>
    </xdr:to>
    <xdr:cxnSp macro="">
      <xdr:nvCxnSpPr>
        <xdr:cNvPr id="40" name="AutoShape 30">
          <a:extLst>
            <a:ext uri="{FF2B5EF4-FFF2-40B4-BE49-F238E27FC236}">
              <a16:creationId xmlns="" xmlns:a16="http://schemas.microsoft.com/office/drawing/2014/main" id="{00000000-0008-0000-0100-000028000000}"/>
            </a:ext>
          </a:extLst>
        </xdr:cNvPr>
        <xdr:cNvCxnSpPr>
          <a:cxnSpLocks noChangeShapeType="1"/>
          <a:endCxn id="18" idx="1"/>
        </xdr:cNvCxnSpPr>
      </xdr:nvCxnSpPr>
      <xdr:spPr bwMode="auto">
        <a:xfrm>
          <a:off x="8994582" y="3663111"/>
          <a:ext cx="1307254" cy="2116"/>
        </a:xfrm>
        <a:prstGeom prst="straightConnector1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cxnSp>
    <xdr:clientData/>
  </xdr:twoCellAnchor>
  <xdr:twoCellAnchor>
    <xdr:from>
      <xdr:col>12</xdr:col>
      <xdr:colOff>579982</xdr:colOff>
      <xdr:row>31</xdr:row>
      <xdr:rowOff>7102</xdr:rowOff>
    </xdr:from>
    <xdr:to>
      <xdr:col>14</xdr:col>
      <xdr:colOff>294232</xdr:colOff>
      <xdr:row>38</xdr:row>
      <xdr:rowOff>62266</xdr:rowOff>
    </xdr:to>
    <xdr:grpSp>
      <xdr:nvGrpSpPr>
        <xdr:cNvPr id="41" name="Group 22">
          <a:extLst>
            <a:ext uri="{FF2B5EF4-FFF2-40B4-BE49-F238E27FC236}">
              <a16:creationId xmlns="" xmlns:a16="http://schemas.microsoft.com/office/drawing/2014/main" id="{00000000-0008-0000-0100-000029000000}"/>
            </a:ext>
          </a:extLst>
        </xdr:cNvPr>
        <xdr:cNvGrpSpPr>
          <a:grpSpLocks/>
        </xdr:cNvGrpSpPr>
      </xdr:nvGrpSpPr>
      <xdr:grpSpPr bwMode="auto">
        <a:xfrm>
          <a:off x="8130132" y="5531602"/>
          <a:ext cx="996950" cy="1034298"/>
          <a:chOff x="281" y="378"/>
          <a:chExt cx="89" cy="112"/>
        </a:xfrm>
      </xdr:grpSpPr>
      <xdr:sp macro="" textlink="">
        <xdr:nvSpPr>
          <xdr:cNvPr id="42" name="Rectangle 1">
            <a:extLst>
              <a:ext uri="{FF2B5EF4-FFF2-40B4-BE49-F238E27FC236}">
                <a16:creationId xmlns="" xmlns:a16="http://schemas.microsoft.com/office/drawing/2014/main" id="{00000000-0008-0000-0100-00002A000000}"/>
              </a:ext>
            </a:extLst>
          </xdr:cNvPr>
          <xdr:cNvSpPr>
            <a:spLocks noChangeArrowheads="1"/>
          </xdr:cNvSpPr>
        </xdr:nvSpPr>
        <xdr:spPr bwMode="auto">
          <a:xfrm>
            <a:off x="281" y="378"/>
            <a:ext cx="89" cy="9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" name="Text Box 5">
            <a:extLst>
              <a:ext uri="{FF2B5EF4-FFF2-40B4-BE49-F238E27FC236}">
                <a16:creationId xmlns="" xmlns:a16="http://schemas.microsoft.com/office/drawing/2014/main" id="{00000000-0008-0000-0100-00002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1" y="474"/>
            <a:ext cx="89" cy="16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32004" rIns="27432" bIns="0" anchor="t" upright="1"/>
          <a:lstStyle/>
          <a:p>
            <a:pPr algn="ctr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xdr:twoCellAnchor>
    <xdr:from>
      <xdr:col>12</xdr:col>
      <xdr:colOff>28593</xdr:colOff>
      <xdr:row>23</xdr:row>
      <xdr:rowOff>921</xdr:rowOff>
    </xdr:from>
    <xdr:to>
      <xdr:col>15</xdr:col>
      <xdr:colOff>315403</xdr:colOff>
      <xdr:row>23</xdr:row>
      <xdr:rowOff>167968</xdr:rowOff>
    </xdr:to>
    <xdr:cxnSp macro="">
      <xdr:nvCxnSpPr>
        <xdr:cNvPr id="47" name="Elbow Connector 46">
          <a:extLst>
            <a:ext uri="{FF2B5EF4-FFF2-40B4-BE49-F238E27FC236}">
              <a16:creationId xmlns="" xmlns:a16="http://schemas.microsoft.com/office/drawing/2014/main" id="{00000000-0008-0000-0100-00002F000000}"/>
            </a:ext>
          </a:extLst>
        </xdr:cNvPr>
        <xdr:cNvCxnSpPr>
          <a:stCxn id="33" idx="0"/>
          <a:endCxn id="38" idx="2"/>
        </xdr:cNvCxnSpPr>
      </xdr:nvCxnSpPr>
      <xdr:spPr>
        <a:xfrm rot="5400000" flipH="1" flipV="1">
          <a:off x="8638749" y="2960465"/>
          <a:ext cx="167047" cy="2210860"/>
        </a:xfrm>
        <a:prstGeom prst="bentConnector3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430764</xdr:colOff>
      <xdr:row>23</xdr:row>
      <xdr:rowOff>921</xdr:rowOff>
    </xdr:from>
    <xdr:to>
      <xdr:col>15</xdr:col>
      <xdr:colOff>315402</xdr:colOff>
      <xdr:row>23</xdr:row>
      <xdr:rowOff>167973</xdr:rowOff>
    </xdr:to>
    <xdr:cxnSp macro="">
      <xdr:nvCxnSpPr>
        <xdr:cNvPr id="48" name="Elbow Connector 47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CxnSpPr>
          <a:stCxn id="30" idx="0"/>
          <a:endCxn id="38" idx="2"/>
        </xdr:cNvCxnSpPr>
      </xdr:nvCxnSpPr>
      <xdr:spPr>
        <a:xfrm rot="5400000" flipH="1" flipV="1">
          <a:off x="9160507" y="3482228"/>
          <a:ext cx="167052" cy="1167338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315402</xdr:colOff>
      <xdr:row>23</xdr:row>
      <xdr:rowOff>921</xdr:rowOff>
    </xdr:from>
    <xdr:to>
      <xdr:col>19</xdr:col>
      <xdr:colOff>3170</xdr:colOff>
      <xdr:row>23</xdr:row>
      <xdr:rowOff>169333</xdr:rowOff>
    </xdr:to>
    <xdr:cxnSp macro="">
      <xdr:nvCxnSpPr>
        <xdr:cNvPr id="49" name="Elbow Connector 48">
          <a:extLst>
            <a:ext uri="{FF2B5EF4-FFF2-40B4-BE49-F238E27FC236}">
              <a16:creationId xmlns="" xmlns:a16="http://schemas.microsoft.com/office/drawing/2014/main" id="{00000000-0008-0000-0100-000031000000}"/>
            </a:ext>
          </a:extLst>
        </xdr:cNvPr>
        <xdr:cNvCxnSpPr>
          <a:stCxn id="36" idx="0"/>
          <a:endCxn id="38" idx="2"/>
        </xdr:cNvCxnSpPr>
      </xdr:nvCxnSpPr>
      <xdr:spPr>
        <a:xfrm rot="16200000" flipV="1">
          <a:off x="10870080" y="2939993"/>
          <a:ext cx="168412" cy="2253168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315402</xdr:colOff>
      <xdr:row>23</xdr:row>
      <xdr:rowOff>921</xdr:rowOff>
    </xdr:from>
    <xdr:to>
      <xdr:col>17</xdr:col>
      <xdr:colOff>189459</xdr:colOff>
      <xdr:row>23</xdr:row>
      <xdr:rowOff>170085</xdr:rowOff>
    </xdr:to>
    <xdr:cxnSp macro="">
      <xdr:nvCxnSpPr>
        <xdr:cNvPr id="50" name="Elbow Connector 49">
          <a:extLs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CxnSpPr>
          <a:stCxn id="38" idx="2"/>
          <a:endCxn id="27" idx="0"/>
        </xdr:cNvCxnSpPr>
      </xdr:nvCxnSpPr>
      <xdr:spPr>
        <a:xfrm rot="16200000" flipH="1">
          <a:off x="10321499" y="3488574"/>
          <a:ext cx="169164" cy="1156757"/>
        </a:xfrm>
        <a:prstGeom prst="bentConnector3">
          <a:avLst>
            <a:gd name="adj1" fmla="val 50000"/>
          </a:avLst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439225</xdr:colOff>
      <xdr:row>23</xdr:row>
      <xdr:rowOff>84666</xdr:rowOff>
    </xdr:from>
    <xdr:to>
      <xdr:col>14</xdr:col>
      <xdr:colOff>372534</xdr:colOff>
      <xdr:row>31</xdr:row>
      <xdr:rowOff>7102</xdr:rowOff>
    </xdr:to>
    <xdr:cxnSp macro="">
      <xdr:nvCxnSpPr>
        <xdr:cNvPr id="51" name="Elbow Connector 50">
          <a:extLs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CxnSpPr>
          <a:stCxn id="42" idx="0"/>
        </xdr:cNvCxnSpPr>
      </xdr:nvCxnSpPr>
      <xdr:spPr>
        <a:xfrm rot="5400000" flipH="1" flipV="1">
          <a:off x="8220237" y="4514704"/>
          <a:ext cx="1471836" cy="574659"/>
        </a:xfrm>
        <a:prstGeom prst="bentConnector3">
          <a:avLst>
            <a:gd name="adj1" fmla="val 10050"/>
          </a:avLst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467780</xdr:colOff>
      <xdr:row>23</xdr:row>
      <xdr:rowOff>165866</xdr:rowOff>
    </xdr:from>
    <xdr:to>
      <xdr:col>16</xdr:col>
      <xdr:colOff>177796</xdr:colOff>
      <xdr:row>29</xdr:row>
      <xdr:rowOff>43389</xdr:rowOff>
    </xdr:to>
    <xdr:grpSp>
      <xdr:nvGrpSpPr>
        <xdr:cNvPr id="52" name="Group 22">
          <a:extLs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GrpSpPr>
          <a:grpSpLocks/>
        </xdr:cNvGrpSpPr>
      </xdr:nvGrpSpPr>
      <xdr:grpSpPr bwMode="auto">
        <a:xfrm>
          <a:off x="9300630" y="4140966"/>
          <a:ext cx="992716" cy="1096723"/>
          <a:chOff x="281" y="378"/>
          <a:chExt cx="89" cy="112"/>
        </a:xfrm>
      </xdr:grpSpPr>
      <xdr:sp macro="" textlink="">
        <xdr:nvSpPr>
          <xdr:cNvPr id="53" name="Rectangle 1">
            <a:extLst>
              <a:ext uri="{FF2B5EF4-FFF2-40B4-BE49-F238E27FC236}">
                <a16:creationId xmlns="" xmlns:a16="http://schemas.microsoft.com/office/drawing/2014/main" id="{00000000-0008-0000-0100-000035000000}"/>
              </a:ext>
            </a:extLst>
          </xdr:cNvPr>
          <xdr:cNvSpPr>
            <a:spLocks noChangeArrowheads="1"/>
          </xdr:cNvSpPr>
        </xdr:nvSpPr>
        <xdr:spPr bwMode="auto">
          <a:xfrm>
            <a:off x="281" y="378"/>
            <a:ext cx="89" cy="9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4" name="Text Box 5">
            <a:extLst>
              <a:ext uri="{FF2B5EF4-FFF2-40B4-BE49-F238E27FC236}">
                <a16:creationId xmlns="" xmlns:a16="http://schemas.microsoft.com/office/drawing/2014/main" id="{00000000-0008-0000-0100-00003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1" y="474"/>
            <a:ext cx="89" cy="16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32004" rIns="27432" bIns="0" anchor="t" upright="1"/>
          <a:lstStyle/>
          <a:p>
            <a:pPr algn="ctr" rtl="1">
              <a:defRPr sz="1000"/>
            </a:pPr>
            <a:endParaRPr lang="en-US" sz="800" b="0" i="0" strike="noStrike">
              <a:solidFill>
                <a:srgbClr val="000000"/>
              </a:solidFill>
              <a:latin typeface="Trebuchet MS"/>
            </a:endParaRPr>
          </a:p>
        </xdr:txBody>
      </xdr:sp>
    </xdr:grpSp>
    <xdr:clientData/>
  </xdr:twoCellAnchor>
  <xdr:twoCellAnchor>
    <xdr:from>
      <xdr:col>13</xdr:col>
      <xdr:colOff>437107</xdr:colOff>
      <xdr:row>30</xdr:row>
      <xdr:rowOff>129540</xdr:rowOff>
    </xdr:from>
    <xdr:to>
      <xdr:col>14</xdr:col>
      <xdr:colOff>388623</xdr:colOff>
      <xdr:row>31</xdr:row>
      <xdr:rowOff>7102</xdr:rowOff>
    </xdr:to>
    <xdr:cxnSp macro="">
      <xdr:nvCxnSpPr>
        <xdr:cNvPr id="56" name="Elbow Connector 55">
          <a:extLst>
            <a:ext uri="{FF2B5EF4-FFF2-40B4-BE49-F238E27FC236}">
              <a16:creationId xmlns="" xmlns:a16="http://schemas.microsoft.com/office/drawing/2014/main" id="{00000000-0008-0000-0100-000038000000}"/>
            </a:ext>
          </a:extLst>
        </xdr:cNvPr>
        <xdr:cNvCxnSpPr>
          <a:cxnSpLocks/>
          <a:stCxn id="42" idx="0"/>
        </xdr:cNvCxnSpPr>
      </xdr:nvCxnSpPr>
      <xdr:spPr>
        <a:xfrm rot="5400000" flipH="1" flipV="1">
          <a:off x="8737974" y="5026513"/>
          <a:ext cx="151882" cy="583976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286846</xdr:colOff>
          <xdr:row>36</xdr:row>
          <xdr:rowOff>222249</xdr:rowOff>
        </xdr:from>
        <xdr:to>
          <xdr:col>17</xdr:col>
          <xdr:colOff>502746</xdr:colOff>
          <xdr:row>36</xdr:row>
          <xdr:rowOff>222249</xdr:rowOff>
        </xdr:to>
        <xdr:pic>
          <xdr:nvPicPr>
            <xdr:cNvPr id="57" name="Picture 56">
              <a:extLst>
                <a:ext uri="{FF2B5EF4-FFF2-40B4-BE49-F238E27FC236}">
                  <a16:creationId xmlns="" xmlns:a16="http://schemas.microsoft.com/office/drawing/2014/main" id="{00000000-0008-0000-0100-00003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D$39" spid="_x0000_s248240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25873" t="13396" r="25437" b="16713"/>
            <a:stretch>
              <a:fillRect/>
            </a:stretch>
          </xdr:blipFill>
          <xdr:spPr bwMode="auto">
            <a:xfrm>
              <a:off x="10440496" y="6457949"/>
              <a:ext cx="85725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606425</xdr:colOff>
      <xdr:row>47</xdr:row>
      <xdr:rowOff>76200</xdr:rowOff>
    </xdr:from>
    <xdr:to>
      <xdr:col>10</xdr:col>
      <xdr:colOff>232751</xdr:colOff>
      <xdr:row>51</xdr:row>
      <xdr:rowOff>182880</xdr:rowOff>
    </xdr:to>
    <xdr:grpSp>
      <xdr:nvGrpSpPr>
        <xdr:cNvPr id="58" name="Group 57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GrpSpPr/>
      </xdr:nvGrpSpPr>
      <xdr:grpSpPr>
        <a:xfrm>
          <a:off x="688975" y="8382000"/>
          <a:ext cx="6141426" cy="1224280"/>
          <a:chOff x="6848475" y="7067550"/>
          <a:chExt cx="4690451" cy="1211580"/>
        </a:xfrm>
      </xdr:grpSpPr>
      <xdr:grpSp>
        <xdr:nvGrpSpPr>
          <xdr:cNvPr id="59" name="Group 58">
            <a:extLst>
              <a:ext uri="{FF2B5EF4-FFF2-40B4-BE49-F238E27FC236}">
                <a16:creationId xmlns="" xmlns:a16="http://schemas.microsoft.com/office/drawing/2014/main" id="{00000000-0008-0000-0100-00003B000000}"/>
              </a:ext>
            </a:extLst>
          </xdr:cNvPr>
          <xdr:cNvGrpSpPr/>
        </xdr:nvGrpSpPr>
        <xdr:grpSpPr>
          <a:xfrm>
            <a:off x="6848475" y="7067550"/>
            <a:ext cx="1175726" cy="847725"/>
            <a:chOff x="3095624" y="8229600"/>
            <a:chExt cx="1097281" cy="847725"/>
          </a:xfrm>
        </xdr:grpSpPr>
        <xdr:sp macro="" textlink="">
          <xdr:nvSpPr>
            <xdr:cNvPr id="79" name="Rectangle 78">
              <a:extLst>
                <a:ext uri="{FF2B5EF4-FFF2-40B4-BE49-F238E27FC236}">
                  <a16:creationId xmlns="" xmlns:a16="http://schemas.microsoft.com/office/drawing/2014/main" id="{00000000-0008-0000-0100-00004F000000}"/>
                </a:ext>
              </a:extLst>
            </xdr:cNvPr>
            <xdr:cNvSpPr/>
          </xdr:nvSpPr>
          <xdr:spPr>
            <a:xfrm>
              <a:off x="3095624" y="8229600"/>
              <a:ext cx="1097280" cy="18288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r>
                <a:rPr lang="en-US" sz="1100">
                  <a:solidFill>
                    <a:sysClr val="windowText" lastClr="000000"/>
                  </a:solidFill>
                </a:rPr>
                <a:t>Didaftarkan</a:t>
              </a:r>
              <a:r>
                <a:rPr lang="en-US" sz="1100" baseline="0">
                  <a:solidFill>
                    <a:sysClr val="windowText" lastClr="000000"/>
                  </a:solidFill>
                </a:rPr>
                <a:t> oleh :</a:t>
              </a:r>
              <a:endParaRPr lang="id-ID" sz="11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80" name="Rectangle 79">
              <a:extLst>
                <a:ext uri="{FF2B5EF4-FFF2-40B4-BE49-F238E27FC236}">
                  <a16:creationId xmlns="" xmlns:a16="http://schemas.microsoft.com/office/drawing/2014/main" id="{00000000-0008-0000-0100-000050000000}"/>
                </a:ext>
              </a:extLst>
            </xdr:cNvPr>
            <xdr:cNvSpPr/>
          </xdr:nvSpPr>
          <xdr:spPr>
            <a:xfrm>
              <a:off x="3095625" y="8410575"/>
              <a:ext cx="1097280" cy="66675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endParaRPr lang="id-ID" sz="1100">
                <a:solidFill>
                  <a:sysClr val="windowText" lastClr="000000"/>
                </a:solidFill>
              </a:endParaRPr>
            </a:p>
          </xdr:txBody>
        </xdr:sp>
      </xdr:grpSp>
      <xdr:sp macro="" textlink="">
        <xdr:nvSpPr>
          <xdr:cNvPr id="60" name="Rectangle 59">
            <a:extLst>
              <a:ext uri="{FF2B5EF4-FFF2-40B4-BE49-F238E27FC236}">
                <a16:creationId xmlns=""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6848475" y="8096250"/>
            <a:ext cx="1175725" cy="18288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 anchorCtr="0"/>
          <a:lstStyle/>
          <a:p>
            <a:pPr algn="ctr"/>
            <a:r>
              <a:rPr lang="en-US" sz="1050" baseline="0">
                <a:solidFill>
                  <a:sysClr val="windowText" lastClr="000000"/>
                </a:solidFill>
              </a:rPr>
              <a:t>Project Leader</a:t>
            </a:r>
            <a:endParaRPr lang="id-ID" sz="105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1" name="Rectangle 60">
            <a:extLst>
              <a:ext uri="{FF2B5EF4-FFF2-40B4-BE49-F238E27FC236}">
                <a16:creationId xmlns=""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6848475" y="7915275"/>
            <a:ext cx="1175725" cy="18288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 anchorCtr="0"/>
          <a:lstStyle/>
          <a:p>
            <a:pPr algn="ctr"/>
            <a:endParaRPr lang="id-ID" sz="1050">
              <a:solidFill>
                <a:schemeClr val="bg1">
                  <a:lumMod val="75000"/>
                </a:schemeClr>
              </a:solidFill>
            </a:endParaRPr>
          </a:p>
        </xdr:txBody>
      </xdr:sp>
      <xdr:grpSp>
        <xdr:nvGrpSpPr>
          <xdr:cNvPr id="62" name="Group 61">
            <a:extLst>
              <a:ext uri="{FF2B5EF4-FFF2-40B4-BE49-F238E27FC236}">
                <a16:creationId xmlns="" xmlns:a16="http://schemas.microsoft.com/office/drawing/2014/main" id="{00000000-0008-0000-0100-00003E000000}"/>
              </a:ext>
            </a:extLst>
          </xdr:cNvPr>
          <xdr:cNvGrpSpPr/>
        </xdr:nvGrpSpPr>
        <xdr:grpSpPr>
          <a:xfrm>
            <a:off x="8020050" y="7067550"/>
            <a:ext cx="1175726" cy="847725"/>
            <a:chOff x="3095624" y="8229600"/>
            <a:chExt cx="1097281" cy="847725"/>
          </a:xfrm>
        </xdr:grpSpPr>
        <xdr:sp macro="" textlink="">
          <xdr:nvSpPr>
            <xdr:cNvPr id="77" name="Rectangle 76">
              <a:extLst>
                <a:ext uri="{FF2B5EF4-FFF2-40B4-BE49-F238E27FC236}">
                  <a16:creationId xmlns="" xmlns:a16="http://schemas.microsoft.com/office/drawing/2014/main" id="{00000000-0008-0000-0100-00004D000000}"/>
                </a:ext>
              </a:extLst>
            </xdr:cNvPr>
            <xdr:cNvSpPr/>
          </xdr:nvSpPr>
          <xdr:spPr>
            <a:xfrm>
              <a:off x="3095624" y="8229600"/>
              <a:ext cx="1097280" cy="18288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r>
                <a:rPr lang="en-US" sz="1100">
                  <a:solidFill>
                    <a:sysClr val="windowText" lastClr="000000"/>
                  </a:solidFill>
                </a:rPr>
                <a:t>Diketahui</a:t>
              </a:r>
              <a:r>
                <a:rPr lang="en-US" sz="1100" baseline="0">
                  <a:solidFill>
                    <a:sysClr val="windowText" lastClr="000000"/>
                  </a:solidFill>
                </a:rPr>
                <a:t> oleh :</a:t>
              </a:r>
              <a:endParaRPr lang="id-ID" sz="11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78" name="Rectangle 77">
              <a:extLst>
                <a:ext uri="{FF2B5EF4-FFF2-40B4-BE49-F238E27FC236}">
                  <a16:creationId xmlns="" xmlns:a16="http://schemas.microsoft.com/office/drawing/2014/main" id="{00000000-0008-0000-0100-00004E000000}"/>
                </a:ext>
              </a:extLst>
            </xdr:cNvPr>
            <xdr:cNvSpPr/>
          </xdr:nvSpPr>
          <xdr:spPr>
            <a:xfrm>
              <a:off x="3095625" y="8410575"/>
              <a:ext cx="1097280" cy="66675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endParaRPr lang="id-ID" sz="1100">
                <a:solidFill>
                  <a:sysClr val="windowText" lastClr="000000"/>
                </a:solidFill>
              </a:endParaRPr>
            </a:p>
          </xdr:txBody>
        </xdr:sp>
      </xdr:grpSp>
      <xdr:sp macro="" textlink="">
        <xdr:nvSpPr>
          <xdr:cNvPr id="63" name="Rectangle 62">
            <a:extLst>
              <a:ext uri="{FF2B5EF4-FFF2-40B4-BE49-F238E27FC236}">
                <a16:creationId xmlns=""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8020050" y="8096250"/>
            <a:ext cx="1175725" cy="18288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 anchorCtr="0"/>
          <a:lstStyle/>
          <a:p>
            <a:pPr algn="ctr"/>
            <a:r>
              <a:rPr lang="en-US" sz="1050">
                <a:solidFill>
                  <a:sysClr val="windowText" lastClr="000000"/>
                </a:solidFill>
              </a:rPr>
              <a:t>Fasilitator</a:t>
            </a:r>
            <a:endParaRPr lang="id-ID" sz="105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4" name="Rectangle 63">
            <a:extLst>
              <a:ext uri="{FF2B5EF4-FFF2-40B4-BE49-F238E27FC236}">
                <a16:creationId xmlns=""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8020050" y="7915275"/>
            <a:ext cx="1175725" cy="18288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 anchorCtr="0"/>
          <a:lstStyle/>
          <a:p>
            <a:pPr algn="ctr"/>
            <a:endParaRPr lang="id-ID" sz="1050">
              <a:solidFill>
                <a:schemeClr val="bg1">
                  <a:lumMod val="75000"/>
                </a:schemeClr>
              </a:solidFill>
            </a:endParaRPr>
          </a:p>
        </xdr:txBody>
      </xdr:sp>
      <xdr:grpSp>
        <xdr:nvGrpSpPr>
          <xdr:cNvPr id="65" name="Group 64">
            <a:extLst>
              <a:ext uri="{FF2B5EF4-FFF2-40B4-BE49-F238E27FC236}">
                <a16:creationId xmlns="" xmlns:a16="http://schemas.microsoft.com/office/drawing/2014/main" id="{00000000-0008-0000-0100-000041000000}"/>
              </a:ext>
            </a:extLst>
          </xdr:cNvPr>
          <xdr:cNvGrpSpPr/>
        </xdr:nvGrpSpPr>
        <xdr:grpSpPr>
          <a:xfrm>
            <a:off x="9191625" y="7067550"/>
            <a:ext cx="1175726" cy="1211580"/>
            <a:chOff x="9277350" y="7162800"/>
            <a:chExt cx="1175726" cy="1211580"/>
          </a:xfrm>
        </xdr:grpSpPr>
        <xdr:grpSp>
          <xdr:nvGrpSpPr>
            <xdr:cNvPr id="72" name="Group 71">
              <a:extLst>
                <a:ext uri="{FF2B5EF4-FFF2-40B4-BE49-F238E27FC236}">
                  <a16:creationId xmlns="" xmlns:a16="http://schemas.microsoft.com/office/drawing/2014/main" id="{00000000-0008-0000-0100-000048000000}"/>
                </a:ext>
              </a:extLst>
            </xdr:cNvPr>
            <xdr:cNvGrpSpPr/>
          </xdr:nvGrpSpPr>
          <xdr:grpSpPr>
            <a:xfrm>
              <a:off x="9277350" y="7162800"/>
              <a:ext cx="1175726" cy="847725"/>
              <a:chOff x="3095624" y="8229600"/>
              <a:chExt cx="1097281" cy="847725"/>
            </a:xfrm>
          </xdr:grpSpPr>
          <xdr:sp macro="" textlink="">
            <xdr:nvSpPr>
              <xdr:cNvPr id="75" name="Rectangle 74">
                <a:extLst>
                  <a:ext uri="{FF2B5EF4-FFF2-40B4-BE49-F238E27FC236}">
                    <a16:creationId xmlns="" xmlns:a16="http://schemas.microsoft.com/office/drawing/2014/main" id="{00000000-0008-0000-0100-00004B000000}"/>
                  </a:ext>
                </a:extLst>
              </xdr:cNvPr>
              <xdr:cNvSpPr/>
            </xdr:nvSpPr>
            <xdr:spPr>
              <a:xfrm>
                <a:off x="3095624" y="8229600"/>
                <a:ext cx="1097280" cy="18288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rIns="0" rtlCol="0" anchor="ctr" anchorCtr="0"/>
              <a:lstStyle/>
              <a:p>
                <a:pPr algn="ctr"/>
                <a:r>
                  <a:rPr lang="en-US" sz="1100">
                    <a:solidFill>
                      <a:sysClr val="windowText" lastClr="000000"/>
                    </a:solidFill>
                  </a:rPr>
                  <a:t>Diketahui</a:t>
                </a:r>
                <a:r>
                  <a:rPr lang="en-US" sz="1100" baseline="0">
                    <a:solidFill>
                      <a:sysClr val="windowText" lastClr="000000"/>
                    </a:solidFill>
                  </a:rPr>
                  <a:t> oleh :</a:t>
                </a:r>
                <a:endParaRPr lang="id-ID" sz="11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76" name="Rectangle 75">
                <a:extLst>
                  <a:ext uri="{FF2B5EF4-FFF2-40B4-BE49-F238E27FC236}">
                    <a16:creationId xmlns="" xmlns:a16="http://schemas.microsoft.com/office/drawing/2014/main" id="{00000000-0008-0000-0100-00004C000000}"/>
                  </a:ext>
                </a:extLst>
              </xdr:cNvPr>
              <xdr:cNvSpPr/>
            </xdr:nvSpPr>
            <xdr:spPr>
              <a:xfrm>
                <a:off x="3095625" y="8410575"/>
                <a:ext cx="1097280" cy="66675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rIns="0" rtlCol="0" anchor="ctr" anchorCtr="0"/>
              <a:lstStyle/>
              <a:p>
                <a:pPr algn="ctr"/>
                <a:endParaRPr lang="id-ID" sz="1100">
                  <a:solidFill>
                    <a:sysClr val="windowText" lastClr="000000"/>
                  </a:solidFill>
                </a:endParaRPr>
              </a:p>
            </xdr:txBody>
          </xdr:sp>
        </xdr:grpSp>
        <xdr:sp macro="" textlink="">
          <xdr:nvSpPr>
            <xdr:cNvPr id="73" name="Rectangle 72">
              <a:extLst>
                <a:ext uri="{FF2B5EF4-FFF2-40B4-BE49-F238E27FC236}">
                  <a16:creationId xmlns="" xmlns:a16="http://schemas.microsoft.com/office/drawing/2014/main" id="{00000000-0008-0000-0100-000049000000}"/>
                </a:ext>
              </a:extLst>
            </xdr:cNvPr>
            <xdr:cNvSpPr/>
          </xdr:nvSpPr>
          <xdr:spPr>
            <a:xfrm>
              <a:off x="9277350" y="8191500"/>
              <a:ext cx="1175725" cy="18288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r>
                <a:rPr lang="en-US" sz="1050">
                  <a:solidFill>
                    <a:sysClr val="windowText" lastClr="000000"/>
                  </a:solidFill>
                </a:rPr>
                <a:t>Dept.</a:t>
              </a:r>
              <a:r>
                <a:rPr lang="en-US" sz="1050" baseline="0">
                  <a:solidFill>
                    <a:sysClr val="windowText" lastClr="000000"/>
                  </a:solidFill>
                </a:rPr>
                <a:t> Head / EM / MM</a:t>
              </a:r>
              <a:endParaRPr lang="id-ID" sz="105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74" name="Rectangle 73">
              <a:extLst>
                <a:ext uri="{FF2B5EF4-FFF2-40B4-BE49-F238E27FC236}">
                  <a16:creationId xmlns="" xmlns:a16="http://schemas.microsoft.com/office/drawing/2014/main" id="{00000000-0008-0000-0100-00004A000000}"/>
                </a:ext>
              </a:extLst>
            </xdr:cNvPr>
            <xdr:cNvSpPr/>
          </xdr:nvSpPr>
          <xdr:spPr>
            <a:xfrm>
              <a:off x="9277350" y="8010525"/>
              <a:ext cx="1175725" cy="18288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r>
                <a:rPr lang="en-US" sz="1050">
                  <a:solidFill>
                    <a:schemeClr val="bg1">
                      <a:lumMod val="75000"/>
                    </a:schemeClr>
                  </a:solidFill>
                </a:rPr>
                <a:t>Tulis</a:t>
              </a:r>
              <a:r>
                <a:rPr lang="en-US" sz="1050" baseline="0">
                  <a:solidFill>
                    <a:schemeClr val="bg1">
                      <a:lumMod val="75000"/>
                    </a:schemeClr>
                  </a:solidFill>
                </a:rPr>
                <a:t> nama disini</a:t>
              </a:r>
              <a:endParaRPr lang="id-ID" sz="1050">
                <a:solidFill>
                  <a:schemeClr val="bg1">
                    <a:lumMod val="75000"/>
                  </a:schemeClr>
                </a:solidFill>
              </a:endParaRPr>
            </a:p>
          </xdr:txBody>
        </xdr:sp>
      </xdr:grpSp>
      <xdr:grpSp>
        <xdr:nvGrpSpPr>
          <xdr:cNvPr id="66" name="Group 65">
            <a:extLst>
              <a:ext uri="{FF2B5EF4-FFF2-40B4-BE49-F238E27FC236}">
                <a16:creationId xmlns="" xmlns:a16="http://schemas.microsoft.com/office/drawing/2014/main" id="{00000000-0008-0000-0100-000042000000}"/>
              </a:ext>
            </a:extLst>
          </xdr:cNvPr>
          <xdr:cNvGrpSpPr/>
        </xdr:nvGrpSpPr>
        <xdr:grpSpPr>
          <a:xfrm>
            <a:off x="10363200" y="7067550"/>
            <a:ext cx="1175726" cy="1211580"/>
            <a:chOff x="9277350" y="7162800"/>
            <a:chExt cx="1175726" cy="1211580"/>
          </a:xfrm>
        </xdr:grpSpPr>
        <xdr:grpSp>
          <xdr:nvGrpSpPr>
            <xdr:cNvPr id="67" name="Group 66">
              <a:extLst>
                <a:ext uri="{FF2B5EF4-FFF2-40B4-BE49-F238E27FC236}">
                  <a16:creationId xmlns="" xmlns:a16="http://schemas.microsoft.com/office/drawing/2014/main" id="{00000000-0008-0000-0100-000043000000}"/>
                </a:ext>
              </a:extLst>
            </xdr:cNvPr>
            <xdr:cNvGrpSpPr/>
          </xdr:nvGrpSpPr>
          <xdr:grpSpPr>
            <a:xfrm>
              <a:off x="9277350" y="7162800"/>
              <a:ext cx="1175726" cy="847725"/>
              <a:chOff x="3095624" y="8229600"/>
              <a:chExt cx="1097281" cy="847725"/>
            </a:xfrm>
          </xdr:grpSpPr>
          <xdr:sp macro="" textlink="">
            <xdr:nvSpPr>
              <xdr:cNvPr id="70" name="Rectangle 69">
                <a:extLst>
                  <a:ext uri="{FF2B5EF4-FFF2-40B4-BE49-F238E27FC236}">
                    <a16:creationId xmlns="" xmlns:a16="http://schemas.microsoft.com/office/drawing/2014/main" id="{00000000-0008-0000-0100-000046000000}"/>
                  </a:ext>
                </a:extLst>
              </xdr:cNvPr>
              <xdr:cNvSpPr/>
            </xdr:nvSpPr>
            <xdr:spPr>
              <a:xfrm>
                <a:off x="3095624" y="8229600"/>
                <a:ext cx="1097280" cy="18288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rIns="0" rtlCol="0" anchor="ctr" anchorCtr="0"/>
              <a:lstStyle/>
              <a:p>
                <a:pPr algn="ctr"/>
                <a:r>
                  <a:rPr lang="en-US" sz="1100">
                    <a:solidFill>
                      <a:sysClr val="windowText" lastClr="000000"/>
                    </a:solidFill>
                  </a:rPr>
                  <a:t>Diterima</a:t>
                </a:r>
                <a:r>
                  <a:rPr lang="en-US" sz="1100" baseline="0">
                    <a:solidFill>
                      <a:sysClr val="windowText" lastClr="000000"/>
                    </a:solidFill>
                  </a:rPr>
                  <a:t> oleh :</a:t>
                </a:r>
                <a:endParaRPr lang="id-ID" sz="11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71" name="Rectangle 70">
                <a:extLst>
                  <a:ext uri="{FF2B5EF4-FFF2-40B4-BE49-F238E27FC236}">
                    <a16:creationId xmlns="" xmlns:a16="http://schemas.microsoft.com/office/drawing/2014/main" id="{00000000-0008-0000-0100-000047000000}"/>
                  </a:ext>
                </a:extLst>
              </xdr:cNvPr>
              <xdr:cNvSpPr/>
            </xdr:nvSpPr>
            <xdr:spPr>
              <a:xfrm>
                <a:off x="3095625" y="8410575"/>
                <a:ext cx="1097280" cy="66675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rIns="0" rtlCol="0" anchor="ctr" anchorCtr="0"/>
              <a:lstStyle/>
              <a:p>
                <a:pPr algn="ctr"/>
                <a:endParaRPr lang="id-ID" sz="1100">
                  <a:solidFill>
                    <a:sysClr val="windowText" lastClr="000000"/>
                  </a:solidFill>
                </a:endParaRPr>
              </a:p>
            </xdr:txBody>
          </xdr:sp>
        </xdr:grpSp>
        <xdr:sp macro="" textlink="">
          <xdr:nvSpPr>
            <xdr:cNvPr id="68" name="Rectangle 67">
              <a:extLst>
                <a:ext uri="{FF2B5EF4-FFF2-40B4-BE49-F238E27FC236}">
                  <a16:creationId xmlns="" xmlns:a16="http://schemas.microsoft.com/office/drawing/2014/main" id="{00000000-0008-0000-0100-000044000000}"/>
                </a:ext>
              </a:extLst>
            </xdr:cNvPr>
            <xdr:cNvSpPr/>
          </xdr:nvSpPr>
          <xdr:spPr>
            <a:xfrm>
              <a:off x="9277350" y="8191500"/>
              <a:ext cx="1175725" cy="18288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r>
                <a:rPr lang="en-US" sz="1050">
                  <a:solidFill>
                    <a:sysClr val="windowText" lastClr="000000"/>
                  </a:solidFill>
                </a:rPr>
                <a:t>Komite</a:t>
              </a:r>
              <a:r>
                <a:rPr lang="en-US" sz="1050" baseline="0">
                  <a:solidFill>
                    <a:sysClr val="windowText" lastClr="000000"/>
                  </a:solidFill>
                </a:rPr>
                <a:t> Improvement</a:t>
              </a:r>
              <a:endParaRPr lang="id-ID" sz="105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9" name="Rectangle 68">
              <a:extLst>
                <a:ext uri="{FF2B5EF4-FFF2-40B4-BE49-F238E27FC236}">
                  <a16:creationId xmlns="" xmlns:a16="http://schemas.microsoft.com/office/drawing/2014/main" id="{00000000-0008-0000-0100-000045000000}"/>
                </a:ext>
              </a:extLst>
            </xdr:cNvPr>
            <xdr:cNvSpPr/>
          </xdr:nvSpPr>
          <xdr:spPr>
            <a:xfrm>
              <a:off x="9277350" y="8010525"/>
              <a:ext cx="1175725" cy="18288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0" rtlCol="0" anchor="ctr" anchorCtr="0"/>
            <a:lstStyle/>
            <a:p>
              <a:pPr algn="ctr"/>
              <a:r>
                <a:rPr lang="en-US" sz="1050">
                  <a:solidFill>
                    <a:schemeClr val="bg1">
                      <a:lumMod val="75000"/>
                    </a:schemeClr>
                  </a:solidFill>
                </a:rPr>
                <a:t>Tulis</a:t>
              </a:r>
              <a:r>
                <a:rPr lang="en-US" sz="1050" baseline="0">
                  <a:solidFill>
                    <a:schemeClr val="bg1">
                      <a:lumMod val="75000"/>
                    </a:schemeClr>
                  </a:solidFill>
                </a:rPr>
                <a:t> nama disini</a:t>
              </a:r>
              <a:endParaRPr lang="id-ID" sz="1050">
                <a:solidFill>
                  <a:schemeClr val="bg1">
                    <a:lumMod val="75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11</xdr:col>
      <xdr:colOff>518582</xdr:colOff>
      <xdr:row>45</xdr:row>
      <xdr:rowOff>50957</xdr:rowOff>
    </xdr:from>
    <xdr:to>
      <xdr:col>12</xdr:col>
      <xdr:colOff>99482</xdr:colOff>
      <xdr:row>46</xdr:row>
      <xdr:rowOff>14817</xdr:rowOff>
    </xdr:to>
    <xdr:sp macro="" textlink="">
      <xdr:nvSpPr>
        <xdr:cNvPr id="81" name="Rectangle 80">
          <a:extLst>
            <a:ext uri="{FF2B5EF4-FFF2-40B4-BE49-F238E27FC236}">
              <a16:creationId xmlns="" xmlns:a16="http://schemas.microsoft.com/office/drawing/2014/main" id="{00000000-0008-0000-0100-000051000000}"/>
            </a:ext>
          </a:extLst>
        </xdr:cNvPr>
        <xdr:cNvSpPr/>
      </xdr:nvSpPr>
      <xdr:spPr>
        <a:xfrm>
          <a:off x="7465482" y="7905907"/>
          <a:ext cx="222250" cy="19246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11</xdr:col>
      <xdr:colOff>0</xdr:colOff>
      <xdr:row>45</xdr:row>
      <xdr:rowOff>0</xdr:rowOff>
    </xdr:from>
    <xdr:ext cx="740833" cy="222250"/>
    <xdr:sp macro="" textlink="">
      <xdr:nvSpPr>
        <xdr:cNvPr id="82" name="TextBox 81">
          <a:extLst>
            <a:ext uri="{FF2B5EF4-FFF2-40B4-BE49-F238E27FC236}">
              <a16:creationId xmlns="" xmlns:a16="http://schemas.microsoft.com/office/drawing/2014/main" id="{00000000-0008-0000-0100-000052000000}"/>
            </a:ext>
          </a:extLst>
        </xdr:cNvPr>
        <xdr:cNvSpPr txBox="1"/>
      </xdr:nvSpPr>
      <xdr:spPr>
        <a:xfrm>
          <a:off x="6946900" y="7854950"/>
          <a:ext cx="740833" cy="22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Note :</a:t>
          </a:r>
        </a:p>
      </xdr:txBody>
    </xdr:sp>
    <xdr:clientData/>
  </xdr:oneCellAnchor>
  <xdr:oneCellAnchor>
    <xdr:from>
      <xdr:col>12</xdr:col>
      <xdr:colOff>61390</xdr:colOff>
      <xdr:row>45</xdr:row>
      <xdr:rowOff>14816</xdr:rowOff>
    </xdr:from>
    <xdr:ext cx="3024710" cy="292100"/>
    <xdr:sp macro="" textlink="">
      <xdr:nvSpPr>
        <xdr:cNvPr id="83" name="TextBox 82">
          <a:extLst>
            <a:ext uri="{FF2B5EF4-FFF2-40B4-BE49-F238E27FC236}">
              <a16:creationId xmlns="" xmlns:a16="http://schemas.microsoft.com/office/drawing/2014/main" id="{00000000-0008-0000-0100-000053000000}"/>
            </a:ext>
          </a:extLst>
        </xdr:cNvPr>
        <xdr:cNvSpPr txBox="1"/>
      </xdr:nvSpPr>
      <xdr:spPr>
        <a:xfrm>
          <a:off x="7649640" y="7869766"/>
          <a:ext cx="3024710" cy="292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Kolom</a:t>
          </a:r>
          <a:r>
            <a:rPr lang="en-US" sz="1100" baseline="0"/>
            <a:t> yang berwarna kuning akan terisi otomatis.</a:t>
          </a:r>
          <a:endParaRPr lang="en-US" sz="1100"/>
        </a:p>
      </xdr:txBody>
    </xdr:sp>
    <xdr:clientData/>
  </xdr:oneCellAnchor>
  <xdr:twoCellAnchor>
    <xdr:from>
      <xdr:col>14</xdr:col>
      <xdr:colOff>411480</xdr:colOff>
      <xdr:row>12</xdr:row>
      <xdr:rowOff>0</xdr:rowOff>
    </xdr:from>
    <xdr:to>
      <xdr:col>16</xdr:col>
      <xdr:colOff>198120</xdr:colOff>
      <xdr:row>13</xdr:row>
      <xdr:rowOff>104775</xdr:rowOff>
    </xdr:to>
    <xdr:sp macro="" textlink="$D$18">
      <xdr:nvSpPr>
        <xdr:cNvPr id="84" name="Rectangle 83">
          <a:extLst>
            <a:ext uri="{FF2B5EF4-FFF2-40B4-BE49-F238E27FC236}">
              <a16:creationId xmlns="" xmlns:a16="http://schemas.microsoft.com/office/drawing/2014/main" id="{00000000-0008-0000-0100-000054000000}"/>
            </a:ext>
          </a:extLst>
        </xdr:cNvPr>
        <xdr:cNvSpPr/>
      </xdr:nvSpPr>
      <xdr:spPr>
        <a:xfrm>
          <a:off x="9128760" y="2232660"/>
          <a:ext cx="1051560" cy="150495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FE05C3D-BB21-4948-95E0-D1EEDDE73687}" type="TxLink">
            <a:rPr lang="en-US" sz="1000">
              <a:solidFill>
                <a:sysClr val="windowText" lastClr="000000"/>
              </a:solidFill>
            </a:rPr>
            <a:pPr algn="ctr"/>
            <a:t>Yanuar A.B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421005</xdr:colOff>
      <xdr:row>19</xdr:row>
      <xdr:rowOff>28575</xdr:rowOff>
    </xdr:from>
    <xdr:to>
      <xdr:col>16</xdr:col>
      <xdr:colOff>207645</xdr:colOff>
      <xdr:row>19</xdr:row>
      <xdr:rowOff>180975</xdr:rowOff>
    </xdr:to>
    <xdr:sp macro="" textlink="$D$20">
      <xdr:nvSpPr>
        <xdr:cNvPr id="85" name="Rectangle 84">
          <a:extLst>
            <a:ext uri="{FF2B5EF4-FFF2-40B4-BE49-F238E27FC236}">
              <a16:creationId xmlns="" xmlns:a16="http://schemas.microsoft.com/office/drawing/2014/main" id="{00000000-0008-0000-0100-000055000000}"/>
            </a:ext>
          </a:extLst>
        </xdr:cNvPr>
        <xdr:cNvSpPr/>
      </xdr:nvSpPr>
      <xdr:spPr>
        <a:xfrm>
          <a:off x="9138285" y="3267075"/>
          <a:ext cx="1051560" cy="1524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2CBF5C6-705D-44CF-9B9F-D56EB90B2905}" type="TxLink">
            <a:rPr lang="en-US" sz="1000">
              <a:solidFill>
                <a:sysClr val="windowText" lastClr="000000"/>
              </a:solidFill>
            </a:rPr>
            <a:pPr algn="ctr"/>
            <a:t>Aulia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287655</xdr:colOff>
      <xdr:row>19</xdr:row>
      <xdr:rowOff>180975</xdr:rowOff>
    </xdr:from>
    <xdr:to>
      <xdr:col>18</xdr:col>
      <xdr:colOff>74295</xdr:colOff>
      <xdr:row>21</xdr:row>
      <xdr:rowOff>9525</xdr:rowOff>
    </xdr:to>
    <xdr:sp macro="" textlink="$D$22">
      <xdr:nvSpPr>
        <xdr:cNvPr id="87" name="Rectangle 86">
          <a:extLst>
            <a:ext uri="{FF2B5EF4-FFF2-40B4-BE49-F238E27FC236}">
              <a16:creationId xmlns="" xmlns:a16="http://schemas.microsoft.com/office/drawing/2014/main" id="{00000000-0008-0000-0100-000057000000}"/>
            </a:ext>
          </a:extLst>
        </xdr:cNvPr>
        <xdr:cNvSpPr/>
      </xdr:nvSpPr>
      <xdr:spPr>
        <a:xfrm>
          <a:off x="10441305" y="3502025"/>
          <a:ext cx="1069340" cy="15875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D21C3F5-CC09-42A0-ADFC-EF2A739B46D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Rohmad Fajar Hidayatullah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175260</xdr:colOff>
      <xdr:row>28</xdr:row>
      <xdr:rowOff>182880</xdr:rowOff>
    </xdr:from>
    <xdr:to>
      <xdr:col>12</xdr:col>
      <xdr:colOff>510540</xdr:colOff>
      <xdr:row>30</xdr:row>
      <xdr:rowOff>38100</xdr:rowOff>
    </xdr:to>
    <xdr:sp macro="" textlink="$D$27">
      <xdr:nvSpPr>
        <xdr:cNvPr id="88" name="Rectangle 87">
          <a:extLst>
            <a:ext uri="{FF2B5EF4-FFF2-40B4-BE49-F238E27FC236}">
              <a16:creationId xmlns="" xmlns:a16="http://schemas.microsoft.com/office/drawing/2014/main" id="{00000000-0008-0000-0100-000058000000}"/>
            </a:ext>
          </a:extLst>
        </xdr:cNvPr>
        <xdr:cNvSpPr/>
      </xdr:nvSpPr>
      <xdr:spPr>
        <a:xfrm>
          <a:off x="6995160" y="4975860"/>
          <a:ext cx="967740" cy="17526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DF99DC8-E1DD-41E5-A78D-BD26B752F51F}" type="TxLink">
            <a:rPr lang="en-US" sz="1000">
              <a:solidFill>
                <a:sysClr val="windowText" lastClr="000000"/>
              </a:solidFill>
            </a:rPr>
            <a:pPr algn="ctr"/>
            <a:t>Mitra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571499</xdr:colOff>
      <xdr:row>28</xdr:row>
      <xdr:rowOff>180974</xdr:rowOff>
    </xdr:from>
    <xdr:to>
      <xdr:col>14</xdr:col>
      <xdr:colOff>297180</xdr:colOff>
      <xdr:row>30</xdr:row>
      <xdr:rowOff>30479</xdr:rowOff>
    </xdr:to>
    <xdr:sp macro="" textlink="$D$29">
      <xdr:nvSpPr>
        <xdr:cNvPr id="89" name="Rectangle 88">
          <a:extLst>
            <a:ext uri="{FF2B5EF4-FFF2-40B4-BE49-F238E27FC236}">
              <a16:creationId xmlns="" xmlns:a16="http://schemas.microsoft.com/office/drawing/2014/main" id="{00000000-0008-0000-0100-000059000000}"/>
            </a:ext>
          </a:extLst>
        </xdr:cNvPr>
        <xdr:cNvSpPr/>
      </xdr:nvSpPr>
      <xdr:spPr>
        <a:xfrm>
          <a:off x="8023859" y="4973954"/>
          <a:ext cx="990601" cy="169545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041A53E-4180-4EC5-9CD4-4DA6345D3103}" type="TxLink">
            <a:rPr lang="en-US" sz="1000">
              <a:solidFill>
                <a:sysClr val="windowText" lastClr="000000"/>
              </a:solidFill>
            </a:rPr>
            <a:pPr algn="ctr"/>
            <a:t>Anugrah Sandi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472440</xdr:colOff>
      <xdr:row>28</xdr:row>
      <xdr:rowOff>180975</xdr:rowOff>
    </xdr:from>
    <xdr:to>
      <xdr:col>16</xdr:col>
      <xdr:colOff>175260</xdr:colOff>
      <xdr:row>30</xdr:row>
      <xdr:rowOff>30480</xdr:rowOff>
    </xdr:to>
    <xdr:sp macro="" textlink="$D$31">
      <xdr:nvSpPr>
        <xdr:cNvPr id="90" name="Rectangle 89">
          <a:extLst>
            <a:ext uri="{FF2B5EF4-FFF2-40B4-BE49-F238E27FC236}">
              <a16:creationId xmlns="" xmlns:a16="http://schemas.microsoft.com/office/drawing/2014/main" id="{00000000-0008-0000-0100-00005A000000}"/>
            </a:ext>
          </a:extLst>
        </xdr:cNvPr>
        <xdr:cNvSpPr/>
      </xdr:nvSpPr>
      <xdr:spPr>
        <a:xfrm>
          <a:off x="9189720" y="4973955"/>
          <a:ext cx="967740" cy="169545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1ED0E58-0AC1-4659-B544-0466ECB2B501}" type="TxLink">
            <a:rPr lang="en-US" sz="1000">
              <a:solidFill>
                <a:sysClr val="windowText" lastClr="000000"/>
              </a:solidFill>
            </a:rPr>
            <a:pPr algn="ctr"/>
            <a:t>Riko Irvansyah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342899</xdr:colOff>
      <xdr:row>28</xdr:row>
      <xdr:rowOff>180975</xdr:rowOff>
    </xdr:from>
    <xdr:to>
      <xdr:col>18</xdr:col>
      <xdr:colOff>38100</xdr:colOff>
      <xdr:row>30</xdr:row>
      <xdr:rowOff>15240</xdr:rowOff>
    </xdr:to>
    <xdr:sp macro="" textlink="$D$33">
      <xdr:nvSpPr>
        <xdr:cNvPr id="91" name="Rectangle 90">
          <a:extLst>
            <a:ext uri="{FF2B5EF4-FFF2-40B4-BE49-F238E27FC236}">
              <a16:creationId xmlns="" xmlns:a16="http://schemas.microsoft.com/office/drawing/2014/main" id="{00000000-0008-0000-0100-00005B000000}"/>
            </a:ext>
          </a:extLst>
        </xdr:cNvPr>
        <xdr:cNvSpPr/>
      </xdr:nvSpPr>
      <xdr:spPr>
        <a:xfrm>
          <a:off x="10325099" y="4973955"/>
          <a:ext cx="960121" cy="154305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95B4198-BA55-4A19-B4E5-F87315C32B48}" type="TxLink">
            <a:rPr lang="en-US" sz="1000">
              <a:solidFill>
                <a:sysClr val="windowText" lastClr="000000"/>
              </a:solidFill>
            </a:rPr>
            <a:pPr algn="ctr"/>
            <a:t>Yusuf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584835</xdr:colOff>
      <xdr:row>36</xdr:row>
      <xdr:rowOff>175260</xdr:rowOff>
    </xdr:from>
    <xdr:to>
      <xdr:col>14</xdr:col>
      <xdr:colOff>289560</xdr:colOff>
      <xdr:row>39</xdr:row>
      <xdr:rowOff>7620</xdr:rowOff>
    </xdr:to>
    <xdr:sp macro="" textlink="$D$35">
      <xdr:nvSpPr>
        <xdr:cNvPr id="93" name="Rectangle 92">
          <a:extLst>
            <a:ext uri="{FF2B5EF4-FFF2-40B4-BE49-F238E27FC236}">
              <a16:creationId xmlns="" xmlns:a16="http://schemas.microsoft.com/office/drawing/2014/main" id="{00000000-0008-0000-0100-00005D000000}"/>
            </a:ext>
          </a:extLst>
        </xdr:cNvPr>
        <xdr:cNvSpPr/>
      </xdr:nvSpPr>
      <xdr:spPr>
        <a:xfrm>
          <a:off x="8037195" y="6248400"/>
          <a:ext cx="969645" cy="1524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FA22B78-C812-4460-91CF-8524F58CCB9E}" type="TxLink">
            <a:rPr lang="en-US" sz="1000">
              <a:solidFill>
                <a:sysClr val="windowText" lastClr="000000"/>
              </a:solidFill>
            </a:rPr>
            <a:pPr algn="ctr"/>
            <a:t>Mitha</a:t>
          </a:fld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824864</xdr:colOff>
      <xdr:row>50</xdr:row>
      <xdr:rowOff>95250</xdr:rowOff>
    </xdr:from>
    <xdr:to>
      <xdr:col>5</xdr:col>
      <xdr:colOff>508634</xdr:colOff>
      <xdr:row>51</xdr:row>
      <xdr:rowOff>0</xdr:rowOff>
    </xdr:to>
    <xdr:sp macro="" textlink="">
      <xdr:nvSpPr>
        <xdr:cNvPr id="94" name="Rectangle 93">
          <a:extLst>
            <a:ext uri="{FF2B5EF4-FFF2-40B4-BE49-F238E27FC236}">
              <a16:creationId xmlns="" xmlns:a16="http://schemas.microsoft.com/office/drawing/2014/main" id="{00000000-0008-0000-0100-00005E000000}"/>
            </a:ext>
          </a:extLst>
        </xdr:cNvPr>
        <xdr:cNvSpPr/>
      </xdr:nvSpPr>
      <xdr:spPr>
        <a:xfrm>
          <a:off x="2303144" y="9033510"/>
          <a:ext cx="1360170" cy="17907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0"/>
        <a:lstStyle/>
        <a:p>
          <a:pPr algn="ctr"/>
          <a:r>
            <a:rPr lang="en-US" sz="1050">
              <a:solidFill>
                <a:schemeClr val="bg1">
                  <a:lumMod val="75000"/>
                </a:schemeClr>
              </a:solidFill>
            </a:rPr>
            <a:t>Tuliskan nama</a:t>
          </a:r>
          <a:r>
            <a:rPr lang="en-US" sz="1050" baseline="0">
              <a:solidFill>
                <a:schemeClr val="bg1">
                  <a:lumMod val="75000"/>
                </a:schemeClr>
              </a:solidFill>
            </a:rPr>
            <a:t> disini</a:t>
          </a:r>
          <a:endParaRPr lang="id-ID" sz="1050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668655</xdr:colOff>
      <xdr:row>50</xdr:row>
      <xdr:rowOff>95249</xdr:rowOff>
    </xdr:from>
    <xdr:to>
      <xdr:col>3</xdr:col>
      <xdr:colOff>649605</xdr:colOff>
      <xdr:row>51</xdr:row>
      <xdr:rowOff>1904</xdr:rowOff>
    </xdr:to>
    <xdr:sp macro="" textlink="">
      <xdr:nvSpPr>
        <xdr:cNvPr id="95" name="Rectangle 94">
          <a:extLst>
            <a:ext uri="{FF2B5EF4-FFF2-40B4-BE49-F238E27FC236}">
              <a16:creationId xmlns="" xmlns:a16="http://schemas.microsoft.com/office/drawing/2014/main" id="{00000000-0008-0000-0100-00005F000000}"/>
            </a:ext>
          </a:extLst>
        </xdr:cNvPr>
        <xdr:cNvSpPr/>
      </xdr:nvSpPr>
      <xdr:spPr>
        <a:xfrm>
          <a:off x="752475" y="9033509"/>
          <a:ext cx="1375410" cy="180975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0"/>
        <a:lstStyle/>
        <a:p>
          <a:pPr algn="ctr"/>
          <a:r>
            <a:rPr lang="en-US" sz="1050">
              <a:solidFill>
                <a:schemeClr val="bg1">
                  <a:lumMod val="75000"/>
                </a:schemeClr>
              </a:solidFill>
            </a:rPr>
            <a:t>Tuliskan nama disini</a:t>
          </a:r>
        </a:p>
      </xdr:txBody>
    </xdr:sp>
    <xdr:clientData/>
  </xdr:twoCellAnchor>
  <xdr:twoCellAnchor editAs="oneCell">
    <xdr:from>
      <xdr:col>1</xdr:col>
      <xdr:colOff>19050</xdr:colOff>
      <xdr:row>0</xdr:row>
      <xdr:rowOff>88900</xdr:rowOff>
    </xdr:from>
    <xdr:to>
      <xdr:col>3</xdr:col>
      <xdr:colOff>155928</xdr:colOff>
      <xdr:row>2</xdr:row>
      <xdr:rowOff>205028</xdr:rowOff>
    </xdr:to>
    <xdr:pic>
      <xdr:nvPicPr>
        <xdr:cNvPr id="96" name="Picture 95">
          <a:extLst>
            <a:ext uri="{FF2B5EF4-FFF2-40B4-BE49-F238E27FC236}">
              <a16:creationId xmlns=""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" y="88900"/>
          <a:ext cx="1559278" cy="547928"/>
        </a:xfrm>
        <a:prstGeom prst="rect">
          <a:avLst/>
        </a:prstGeom>
      </xdr:spPr>
    </xdr:pic>
    <xdr:clientData/>
  </xdr:twoCellAnchor>
  <xdr:twoCellAnchor editAs="oneCell">
    <xdr:from>
      <xdr:col>11</xdr:col>
      <xdr:colOff>133350</xdr:colOff>
      <xdr:row>0</xdr:row>
      <xdr:rowOff>82550</xdr:rowOff>
    </xdr:from>
    <xdr:to>
      <xdr:col>13</xdr:col>
      <xdr:colOff>409928</xdr:colOff>
      <xdr:row>2</xdr:row>
      <xdr:rowOff>198678</xdr:rowOff>
    </xdr:to>
    <xdr:pic>
      <xdr:nvPicPr>
        <xdr:cNvPr id="97" name="Picture 96">
          <a:extLst>
            <a:ext uri="{FF2B5EF4-FFF2-40B4-BE49-F238E27FC236}">
              <a16:creationId xmlns="" xmlns:a16="http://schemas.microsoft.com/office/drawing/2014/main" id="{00000000-0008-0000-0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0250" y="82550"/>
          <a:ext cx="1559278" cy="5479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51857</xdr:colOff>
      <xdr:row>29</xdr:row>
      <xdr:rowOff>79532</xdr:rowOff>
    </xdr:from>
    <xdr:to>
      <xdr:col>2</xdr:col>
      <xdr:colOff>242357</xdr:colOff>
      <xdr:row>30</xdr:row>
      <xdr:rowOff>81492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766232" y="5851682"/>
          <a:ext cx="190500" cy="19246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66675</xdr:colOff>
      <xdr:row>29</xdr:row>
      <xdr:rowOff>28575</xdr:rowOff>
    </xdr:from>
    <xdr:ext cx="740833" cy="222250"/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47650" y="5800725"/>
          <a:ext cx="740833" cy="22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Note :</a:t>
          </a:r>
        </a:p>
      </xdr:txBody>
    </xdr:sp>
    <xdr:clientData/>
  </xdr:oneCellAnchor>
  <xdr:oneCellAnchor>
    <xdr:from>
      <xdr:col>2</xdr:col>
      <xdr:colOff>204265</xdr:colOff>
      <xdr:row>29</xdr:row>
      <xdr:rowOff>43391</xdr:rowOff>
    </xdr:from>
    <xdr:ext cx="3024710" cy="292100"/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18640" y="5815541"/>
          <a:ext cx="3024710" cy="292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Kolom</a:t>
          </a:r>
          <a:r>
            <a:rPr lang="en-US" sz="1100" baseline="0"/>
            <a:t> yang berwarna kuning akan terisi otomatis.</a:t>
          </a:r>
          <a:endParaRPr lang="en-US" sz="1100"/>
        </a:p>
      </xdr:txBody>
    </xdr:sp>
    <xdr:clientData/>
  </xdr:oneCellAnchor>
  <xdr:twoCellAnchor>
    <xdr:from>
      <xdr:col>30</xdr:col>
      <xdr:colOff>114300</xdr:colOff>
      <xdr:row>2</xdr:row>
      <xdr:rowOff>123825</xdr:rowOff>
    </xdr:from>
    <xdr:to>
      <xdr:col>31</xdr:col>
      <xdr:colOff>135082</xdr:colOff>
      <xdr:row>4</xdr:row>
      <xdr:rowOff>133349</xdr:rowOff>
    </xdr:to>
    <xdr:sp macro="" textlink="">
      <xdr:nvSpPr>
        <xdr:cNvPr id="7" name="Right Arrow 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0106025" y="704850"/>
          <a:ext cx="630382" cy="438149"/>
        </a:xfrm>
        <a:prstGeom prst="rightArrow">
          <a:avLst>
            <a:gd name="adj1" fmla="val 50000"/>
            <a:gd name="adj2" fmla="val 53296"/>
          </a:avLst>
        </a:prstGeom>
        <a:solidFill>
          <a:schemeClr val="accent6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</a:t>
          </a:r>
        </a:p>
      </xdr:txBody>
    </xdr:sp>
    <xdr:clientData/>
  </xdr:twoCellAnchor>
  <xdr:twoCellAnchor editAs="oneCell">
    <xdr:from>
      <xdr:col>22</xdr:col>
      <xdr:colOff>203200</xdr:colOff>
      <xdr:row>0</xdr:row>
      <xdr:rowOff>82550</xdr:rowOff>
    </xdr:from>
    <xdr:to>
      <xdr:col>28</xdr:col>
      <xdr:colOff>200378</xdr:colOff>
      <xdr:row>2</xdr:row>
      <xdr:rowOff>52628</xdr:rowOff>
    </xdr:to>
    <xdr:pic>
      <xdr:nvPicPr>
        <xdr:cNvPr id="8" name="Picture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82550"/>
          <a:ext cx="1559278" cy="5479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20</xdr:row>
      <xdr:rowOff>35982</xdr:rowOff>
    </xdr:from>
    <xdr:to>
      <xdr:col>8</xdr:col>
      <xdr:colOff>438149</xdr:colOff>
      <xdr:row>36</xdr:row>
      <xdr:rowOff>89958</xdr:rowOff>
    </xdr:to>
    <xdr:graphicFrame macro="">
      <xdr:nvGraphicFramePr>
        <xdr:cNvPr id="14" name="Chart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251882</xdr:colOff>
      <xdr:row>16</xdr:row>
      <xdr:rowOff>260507</xdr:rowOff>
    </xdr:from>
    <xdr:to>
      <xdr:col>1</xdr:col>
      <xdr:colOff>442382</xdr:colOff>
      <xdr:row>17</xdr:row>
      <xdr:rowOff>176742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566207" y="4518182"/>
          <a:ext cx="190500" cy="19246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47625</xdr:colOff>
      <xdr:row>16</xdr:row>
      <xdr:rowOff>209550</xdr:rowOff>
    </xdr:from>
    <xdr:ext cx="740833" cy="222250"/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47625" y="4467225"/>
          <a:ext cx="740833" cy="22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Note :</a:t>
          </a:r>
        </a:p>
      </xdr:txBody>
    </xdr:sp>
    <xdr:clientData/>
  </xdr:oneCellAnchor>
  <xdr:oneCellAnchor>
    <xdr:from>
      <xdr:col>1</xdr:col>
      <xdr:colOff>404290</xdr:colOff>
      <xdr:row>16</xdr:row>
      <xdr:rowOff>224366</xdr:rowOff>
    </xdr:from>
    <xdr:ext cx="3024710" cy="292100"/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718615" y="4482041"/>
          <a:ext cx="3024710" cy="292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Kolom</a:t>
          </a:r>
          <a:r>
            <a:rPr lang="en-US" sz="1100" baseline="0"/>
            <a:t> yang berwarna kuning akan terisi otomatis.</a:t>
          </a:r>
          <a:endParaRPr lang="en-US" sz="1100"/>
        </a:p>
      </xdr:txBody>
    </xdr:sp>
    <xdr:clientData/>
  </xdr:oneCellAnchor>
  <xdr:twoCellAnchor>
    <xdr:from>
      <xdr:col>0</xdr:col>
      <xdr:colOff>47626</xdr:colOff>
      <xdr:row>20</xdr:row>
      <xdr:rowOff>47625</xdr:rowOff>
    </xdr:from>
    <xdr:to>
      <xdr:col>3</xdr:col>
      <xdr:colOff>600076</xdr:colOff>
      <xdr:row>36</xdr:row>
      <xdr:rowOff>101601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673100</xdr:colOff>
      <xdr:row>0</xdr:row>
      <xdr:rowOff>146050</xdr:rowOff>
    </xdr:from>
    <xdr:to>
      <xdr:col>8</xdr:col>
      <xdr:colOff>187678</xdr:colOff>
      <xdr:row>3</xdr:row>
      <xdr:rowOff>20878</xdr:rowOff>
    </xdr:to>
    <xdr:pic>
      <xdr:nvPicPr>
        <xdr:cNvPr id="8" name="Picture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2800" y="146050"/>
          <a:ext cx="1559278" cy="5479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19</xdr:row>
      <xdr:rowOff>35982</xdr:rowOff>
    </xdr:from>
    <xdr:to>
      <xdr:col>8</xdr:col>
      <xdr:colOff>438149</xdr:colOff>
      <xdr:row>35</xdr:row>
      <xdr:rowOff>89958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251882</xdr:colOff>
      <xdr:row>15</xdr:row>
      <xdr:rowOff>260507</xdr:rowOff>
    </xdr:from>
    <xdr:to>
      <xdr:col>1</xdr:col>
      <xdr:colOff>442382</xdr:colOff>
      <xdr:row>16</xdr:row>
      <xdr:rowOff>176742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579542" y="4459127"/>
          <a:ext cx="190500" cy="190555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47625</xdr:colOff>
      <xdr:row>15</xdr:row>
      <xdr:rowOff>209550</xdr:rowOff>
    </xdr:from>
    <xdr:ext cx="740833" cy="222250"/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47625" y="4408170"/>
          <a:ext cx="740833" cy="22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Note :</a:t>
          </a:r>
        </a:p>
      </xdr:txBody>
    </xdr:sp>
    <xdr:clientData/>
  </xdr:oneCellAnchor>
  <xdr:oneCellAnchor>
    <xdr:from>
      <xdr:col>1</xdr:col>
      <xdr:colOff>404290</xdr:colOff>
      <xdr:row>15</xdr:row>
      <xdr:rowOff>224366</xdr:rowOff>
    </xdr:from>
    <xdr:ext cx="3024710" cy="292100"/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731950" y="4422986"/>
          <a:ext cx="3024710" cy="292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Kolom</a:t>
          </a:r>
          <a:r>
            <a:rPr lang="en-US" sz="1100" baseline="0"/>
            <a:t> yang berwarna kuning akan terisi otomatis.</a:t>
          </a:r>
          <a:endParaRPr lang="en-US" sz="1100"/>
        </a:p>
      </xdr:txBody>
    </xdr:sp>
    <xdr:clientData/>
  </xdr:oneCellAnchor>
  <xdr:twoCellAnchor>
    <xdr:from>
      <xdr:col>0</xdr:col>
      <xdr:colOff>47626</xdr:colOff>
      <xdr:row>19</xdr:row>
      <xdr:rowOff>47625</xdr:rowOff>
    </xdr:from>
    <xdr:to>
      <xdr:col>3</xdr:col>
      <xdr:colOff>600076</xdr:colOff>
      <xdr:row>35</xdr:row>
      <xdr:rowOff>101601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673100</xdr:colOff>
      <xdr:row>0</xdr:row>
      <xdr:rowOff>146050</xdr:rowOff>
    </xdr:from>
    <xdr:to>
      <xdr:col>8</xdr:col>
      <xdr:colOff>187678</xdr:colOff>
      <xdr:row>3</xdr:row>
      <xdr:rowOff>43738</xdr:rowOff>
    </xdr:to>
    <xdr:pic>
      <xdr:nvPicPr>
        <xdr:cNvPr id="7" name="Picture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1680" y="146050"/>
          <a:ext cx="1518638" cy="54538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33866</xdr:colOff>
      <xdr:row>11</xdr:row>
      <xdr:rowOff>53974</xdr:rowOff>
    </xdr:from>
    <xdr:to>
      <xdr:col>7</xdr:col>
      <xdr:colOff>245534</xdr:colOff>
      <xdr:row>23</xdr:row>
      <xdr:rowOff>150284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95251</xdr:colOff>
      <xdr:row>2</xdr:row>
      <xdr:rowOff>42334</xdr:rowOff>
    </xdr:from>
    <xdr:to>
      <xdr:col>12</xdr:col>
      <xdr:colOff>158750</xdr:colOff>
      <xdr:row>15</xdr:row>
      <xdr:rowOff>116416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11852</xdr:colOff>
      <xdr:row>2</xdr:row>
      <xdr:rowOff>150070</xdr:rowOff>
    </xdr:from>
    <xdr:to>
      <xdr:col>11</xdr:col>
      <xdr:colOff>716703</xdr:colOff>
      <xdr:row>7</xdr:row>
      <xdr:rowOff>154950</xdr:rowOff>
    </xdr:to>
    <xdr:sp macro="" textlink="">
      <xdr:nvSpPr>
        <xdr:cNvPr id="4" name="Explosion 2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6321212" y="500590"/>
          <a:ext cx="1474471" cy="888800"/>
        </a:xfrm>
        <a:prstGeom prst="irregularSeal2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297391</xdr:colOff>
          <xdr:row>5</xdr:row>
          <xdr:rowOff>82984</xdr:rowOff>
        </xdr:from>
        <xdr:to>
          <xdr:col>11</xdr:col>
          <xdr:colOff>157691</xdr:colOff>
          <xdr:row>6</xdr:row>
          <xdr:rowOff>76634</xdr:rowOff>
        </xdr:to>
        <xdr:pic>
          <xdr:nvPicPr>
            <xdr:cNvPr id="5" name="Picture 4">
              <a:extLst>
                <a:ext uri="{FF2B5EF4-FFF2-40B4-BE49-F238E27FC236}">
                  <a16:creationId xmlns="" xmlns:a16="http://schemas.microsoft.com/office/drawing/2014/main" id="{00000000-0008-0000-06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H$11" spid="_x0000_s232846"/>
                </a:ext>
              </a:extLst>
            </xdr:cNvPicPr>
          </xdr:nvPicPr>
          <xdr:blipFill rotWithShape="1">
            <a:blip xmlns:r="http://schemas.openxmlformats.org/officeDocument/2006/relationships" r:embed="rId3"/>
            <a:srcRect l="17647" t="21397" r="10294" b="13733"/>
            <a:stretch>
              <a:fillRect/>
            </a:stretch>
          </xdr:blipFill>
          <xdr:spPr bwMode="auto">
            <a:xfrm>
              <a:off x="6698191" y="933884"/>
              <a:ext cx="641350" cy="1841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10</xdr:col>
      <xdr:colOff>404286</xdr:colOff>
      <xdr:row>4</xdr:row>
      <xdr:rowOff>25410</xdr:rowOff>
    </xdr:from>
    <xdr:ext cx="593496" cy="311496"/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6713646" y="695970"/>
          <a:ext cx="59349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chemeClr val="bg1">
                  <a:lumMod val="95000"/>
                </a:schemeClr>
              </a:solidFill>
            </a:rPr>
            <a:t>GAP :</a:t>
          </a:r>
        </a:p>
      </xdr:txBody>
    </xdr:sp>
    <xdr:clientData/>
  </xdr:oneCellAnchor>
  <xdr:twoCellAnchor>
    <xdr:from>
      <xdr:col>0</xdr:col>
      <xdr:colOff>63500</xdr:colOff>
      <xdr:row>23</xdr:row>
      <xdr:rowOff>189441</xdr:rowOff>
    </xdr:from>
    <xdr:to>
      <xdr:col>7</xdr:col>
      <xdr:colOff>228599</xdr:colOff>
      <xdr:row>30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245532</xdr:colOff>
      <xdr:row>2</xdr:row>
      <xdr:rowOff>60482</xdr:rowOff>
    </xdr:from>
    <xdr:to>
      <xdr:col>2</xdr:col>
      <xdr:colOff>436032</xdr:colOff>
      <xdr:row>3</xdr:row>
      <xdr:rowOff>62442</xdr:rowOff>
    </xdr:to>
    <xdr:sp macro="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664632" y="498632"/>
          <a:ext cx="190500" cy="19246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142875</xdr:colOff>
      <xdr:row>2</xdr:row>
      <xdr:rowOff>9525</xdr:rowOff>
    </xdr:from>
    <xdr:ext cx="740833" cy="222250"/>
    <xdr:sp macro="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142875" y="447675"/>
          <a:ext cx="740833" cy="22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Note :</a:t>
          </a:r>
        </a:p>
      </xdr:txBody>
    </xdr:sp>
    <xdr:clientData/>
  </xdr:oneCellAnchor>
  <xdr:oneCellAnchor>
    <xdr:from>
      <xdr:col>2</xdr:col>
      <xdr:colOff>397940</xdr:colOff>
      <xdr:row>2</xdr:row>
      <xdr:rowOff>24341</xdr:rowOff>
    </xdr:from>
    <xdr:ext cx="3520012" cy="292100"/>
    <xdr:sp macro="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817040" y="462491"/>
          <a:ext cx="3520012" cy="292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Kolom</a:t>
          </a:r>
          <a:r>
            <a:rPr lang="en-US" sz="1100" baseline="0"/>
            <a:t> yang berwarna kuning akan terisi otomatis.</a:t>
          </a:r>
          <a:endParaRPr lang="en-US" sz="1100"/>
        </a:p>
      </xdr:txBody>
    </xdr:sp>
    <xdr:clientData/>
  </xdr:oneCellAnchor>
  <xdr:oneCellAnchor>
    <xdr:from>
      <xdr:col>10</xdr:col>
      <xdr:colOff>691516</xdr:colOff>
      <xdr:row>5</xdr:row>
      <xdr:rowOff>40005</xdr:rowOff>
    </xdr:from>
    <xdr:ext cx="438784" cy="264560"/>
    <xdr:sp macro="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7092316" y="890905"/>
          <a:ext cx="43878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Ha</a:t>
          </a:r>
        </a:p>
      </xdr:txBody>
    </xdr:sp>
    <xdr:clientData/>
  </xdr:oneCellAnchor>
  <xdr:twoCellAnchor>
    <xdr:from>
      <xdr:col>14</xdr:col>
      <xdr:colOff>304800</xdr:colOff>
      <xdr:row>18</xdr:row>
      <xdr:rowOff>66675</xdr:rowOff>
    </xdr:from>
    <xdr:to>
      <xdr:col>15</xdr:col>
      <xdr:colOff>284018</xdr:colOff>
      <xdr:row>20</xdr:row>
      <xdr:rowOff>114299</xdr:rowOff>
    </xdr:to>
    <xdr:sp macro="" textlink="">
      <xdr:nvSpPr>
        <xdr:cNvPr id="12" name="Right Arrow 11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 flipH="1">
          <a:off x="8877300" y="3390900"/>
          <a:ext cx="588818" cy="438149"/>
        </a:xfrm>
        <a:prstGeom prst="rightArrow">
          <a:avLst>
            <a:gd name="adj1" fmla="val 50000"/>
            <a:gd name="adj2" fmla="val 53296"/>
          </a:avLst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78316</xdr:colOff>
          <xdr:row>4</xdr:row>
          <xdr:rowOff>10594</xdr:rowOff>
        </xdr:from>
        <xdr:to>
          <xdr:col>13</xdr:col>
          <xdr:colOff>611716</xdr:colOff>
          <xdr:row>5</xdr:row>
          <xdr:rowOff>161089</xdr:rowOff>
        </xdr:to>
        <xdr:pic>
          <xdr:nvPicPr>
            <xdr:cNvPr id="5" name="Picture 4">
              <a:extLst>
                <a:ext uri="{FF2B5EF4-FFF2-40B4-BE49-F238E27FC236}">
                  <a16:creationId xmlns="" xmlns:a16="http://schemas.microsoft.com/office/drawing/2014/main" id="{00000000-0008-0000-07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L$11" spid="_x0000_s191942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17647" t="21397" r="10294" b="13733"/>
            <a:stretch>
              <a:fillRect/>
            </a:stretch>
          </xdr:blipFill>
          <xdr:spPr bwMode="auto">
            <a:xfrm>
              <a:off x="6412441" y="772594"/>
              <a:ext cx="533400" cy="3333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13</xdr:col>
      <xdr:colOff>72390</xdr:colOff>
      <xdr:row>0</xdr:row>
      <xdr:rowOff>38100</xdr:rowOff>
    </xdr:from>
    <xdr:to>
      <xdr:col>16</xdr:col>
      <xdr:colOff>777240</xdr:colOff>
      <xdr:row>14</xdr:row>
      <xdr:rowOff>12911</xdr:rowOff>
    </xdr:to>
    <xdr:graphicFrame macro="">
      <xdr:nvGraphicFramePr>
        <xdr:cNvPr id="13" name="Chart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215265</xdr:colOff>
      <xdr:row>11</xdr:row>
      <xdr:rowOff>124777</xdr:rowOff>
    </xdr:from>
    <xdr:to>
      <xdr:col>10</xdr:col>
      <xdr:colOff>501015</xdr:colOff>
      <xdr:row>27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241300</xdr:colOff>
          <xdr:row>0</xdr:row>
          <xdr:rowOff>152400</xdr:rowOff>
        </xdr:from>
        <xdr:to>
          <xdr:col>12</xdr:col>
          <xdr:colOff>330200</xdr:colOff>
          <xdr:row>2</xdr:row>
          <xdr:rowOff>101600</xdr:rowOff>
        </xdr:to>
        <xdr:sp macro="" textlink="">
          <xdr:nvSpPr>
            <xdr:cNvPr id="224257" name="Button 1" hidden="1">
              <a:extLst>
                <a:ext uri="{63B3BB69-23CF-44E3-9099-C40C66FF867C}">
                  <a14:compatExt spid="_x0000_s224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75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(Klik disini setelah input)</a:t>
              </a:r>
              <a:endPara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119063</xdr:colOff>
      <xdr:row>9</xdr:row>
      <xdr:rowOff>156367</xdr:rowOff>
    </xdr:from>
    <xdr:to>
      <xdr:col>6</xdr:col>
      <xdr:colOff>412750</xdr:colOff>
      <xdr:row>23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303530</xdr:colOff>
          <xdr:row>14</xdr:row>
          <xdr:rowOff>79690</xdr:rowOff>
        </xdr:from>
        <xdr:to>
          <xdr:col>5</xdr:col>
          <xdr:colOff>152082</xdr:colOff>
          <xdr:row>15</xdr:row>
          <xdr:rowOff>159065</xdr:rowOff>
        </xdr:to>
        <xdr:pic>
          <xdr:nvPicPr>
            <xdr:cNvPr id="9" name="Picture 8">
              <a:extLst>
                <a:ext uri="{FF2B5EF4-FFF2-40B4-BE49-F238E27FC236}">
                  <a16:creationId xmlns="" xmlns:a16="http://schemas.microsoft.com/office/drawing/2014/main" id="{00000000-0008-0000-09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F$8" spid="_x0000_s39808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8870" t="19841" r="7981" b="12697"/>
            <a:stretch>
              <a:fillRect/>
            </a:stretch>
          </xdr:blipFill>
          <xdr:spPr bwMode="auto">
            <a:xfrm>
              <a:off x="2719070" y="2921950"/>
              <a:ext cx="618172" cy="2698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588432</xdr:colOff>
      <xdr:row>38</xdr:row>
      <xdr:rowOff>79532</xdr:rowOff>
    </xdr:from>
    <xdr:to>
      <xdr:col>1</xdr:col>
      <xdr:colOff>778932</xdr:colOff>
      <xdr:row>39</xdr:row>
      <xdr:rowOff>81492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797982" y="7556657"/>
          <a:ext cx="190500" cy="19246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66675</xdr:colOff>
      <xdr:row>38</xdr:row>
      <xdr:rowOff>28575</xdr:rowOff>
    </xdr:from>
    <xdr:ext cx="740833" cy="222250"/>
    <xdr:sp macro="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276225" y="7505700"/>
          <a:ext cx="740833" cy="22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Note :</a:t>
          </a:r>
        </a:p>
      </xdr:txBody>
    </xdr:sp>
    <xdr:clientData/>
  </xdr:oneCellAnchor>
  <xdr:oneCellAnchor>
    <xdr:from>
      <xdr:col>1</xdr:col>
      <xdr:colOff>740840</xdr:colOff>
      <xdr:row>38</xdr:row>
      <xdr:rowOff>43391</xdr:rowOff>
    </xdr:from>
    <xdr:ext cx="3520012" cy="292100"/>
    <xdr:sp macro="" textlink="">
      <xdr:nvSpPr>
        <xdr:cNvPr id="8" name="TextBox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950390" y="7520516"/>
          <a:ext cx="3520012" cy="292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Kolom</a:t>
          </a:r>
          <a:r>
            <a:rPr lang="en-US" sz="1100" baseline="0"/>
            <a:t> yang berwarna kuning akan terisi otomatis.</a:t>
          </a:r>
          <a:endParaRPr lang="en-US" sz="1100"/>
        </a:p>
      </xdr:txBody>
    </xdr:sp>
    <xdr:clientData/>
  </xdr:oneCellAnchor>
  <xdr:twoCellAnchor>
    <xdr:from>
      <xdr:col>17</xdr:col>
      <xdr:colOff>114300</xdr:colOff>
      <xdr:row>18</xdr:row>
      <xdr:rowOff>123825</xdr:rowOff>
    </xdr:from>
    <xdr:to>
      <xdr:col>18</xdr:col>
      <xdr:colOff>93518</xdr:colOff>
      <xdr:row>20</xdr:row>
      <xdr:rowOff>180974</xdr:rowOff>
    </xdr:to>
    <xdr:sp macro="" textlink="">
      <xdr:nvSpPr>
        <xdr:cNvPr id="10" name="Right Arrow 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 flipH="1">
          <a:off x="6467475" y="3743325"/>
          <a:ext cx="588818" cy="438149"/>
        </a:xfrm>
        <a:prstGeom prst="rightArrow">
          <a:avLst>
            <a:gd name="adj1" fmla="val 50000"/>
            <a:gd name="adj2" fmla="val 53296"/>
          </a:avLst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</a:t>
          </a:r>
        </a:p>
      </xdr:txBody>
    </xdr:sp>
    <xdr:clientData/>
  </xdr:twoCellAnchor>
  <xdr:twoCellAnchor editAs="oneCell">
    <xdr:from>
      <xdr:col>7</xdr:col>
      <xdr:colOff>127000</xdr:colOff>
      <xdr:row>0</xdr:row>
      <xdr:rowOff>114300</xdr:rowOff>
    </xdr:from>
    <xdr:to>
      <xdr:col>9</xdr:col>
      <xdr:colOff>403578</xdr:colOff>
      <xdr:row>2</xdr:row>
      <xdr:rowOff>179628</xdr:rowOff>
    </xdr:to>
    <xdr:pic>
      <xdr:nvPicPr>
        <xdr:cNvPr id="11" name="Picture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9800" y="114300"/>
          <a:ext cx="1559278" cy="54792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134066</xdr:colOff>
      <xdr:row>0</xdr:row>
      <xdr:rowOff>158671</xdr:rowOff>
    </xdr:from>
    <xdr:to>
      <xdr:col>13</xdr:col>
      <xdr:colOff>453584</xdr:colOff>
      <xdr:row>13</xdr:row>
      <xdr:rowOff>143551</xdr:rowOff>
    </xdr:to>
    <xdr:pic>
      <xdr:nvPicPr>
        <xdr:cNvPr id="269" name="Picture 268">
          <a:extLst>
            <a:ext uri="{FF2B5EF4-FFF2-40B4-BE49-F238E27FC236}">
              <a16:creationId xmlns=""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15691" y="158671"/>
          <a:ext cx="4215243" cy="2509005"/>
        </a:xfrm>
        <a:prstGeom prst="rect">
          <a:avLst/>
        </a:prstGeom>
      </xdr:spPr>
    </xdr:pic>
    <xdr:clientData/>
  </xdr:twoCellAnchor>
  <xdr:twoCellAnchor>
    <xdr:from>
      <xdr:col>1</xdr:col>
      <xdr:colOff>265353</xdr:colOff>
      <xdr:row>26</xdr:row>
      <xdr:rowOff>142875</xdr:rowOff>
    </xdr:from>
    <xdr:to>
      <xdr:col>11</xdr:col>
      <xdr:colOff>352425</xdr:colOff>
      <xdr:row>26</xdr:row>
      <xdr:rowOff>146050</xdr:rowOff>
    </xdr:to>
    <xdr:cxnSp macro="">
      <xdr:nvCxnSpPr>
        <xdr:cNvPr id="4" name="Straight Arrow Connector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CxnSpPr/>
      </xdr:nvCxnSpPr>
      <xdr:spPr>
        <a:xfrm flipV="1">
          <a:off x="370128" y="5143500"/>
          <a:ext cx="7668972" cy="3175"/>
        </a:xfrm>
        <a:prstGeom prst="straightConnector1">
          <a:avLst/>
        </a:prstGeom>
        <a:ln w="1270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694056</xdr:colOff>
      <xdr:row>17</xdr:row>
      <xdr:rowOff>182245</xdr:rowOff>
    </xdr:from>
    <xdr:to>
      <xdr:col>3</xdr:col>
      <xdr:colOff>730248</xdr:colOff>
      <xdr:row>26</xdr:row>
      <xdr:rowOff>93092</xdr:rowOff>
    </xdr:to>
    <xdr:cxnSp macro="">
      <xdr:nvCxnSpPr>
        <xdr:cNvPr id="5" name="Straight Arrow Connector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CxnSpPr>
          <a:stCxn id="7" idx="2"/>
        </xdr:cNvCxnSpPr>
      </xdr:nvCxnSpPr>
      <xdr:spPr>
        <a:xfrm>
          <a:off x="1713231" y="3468370"/>
          <a:ext cx="941067" cy="1625347"/>
        </a:xfrm>
        <a:prstGeom prst="straightConnector1">
          <a:avLst/>
        </a:prstGeom>
        <a:ln w="57150">
          <a:solidFill>
            <a:schemeClr val="accent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256872</xdr:colOff>
      <xdr:row>16</xdr:row>
      <xdr:rowOff>98425</xdr:rowOff>
    </xdr:from>
    <xdr:to>
      <xdr:col>3</xdr:col>
      <xdr:colOff>226364</xdr:colOff>
      <xdr:row>17</xdr:row>
      <xdr:rowOff>182245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276047" y="3194050"/>
          <a:ext cx="874367" cy="2743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Mesin</a:t>
          </a:r>
        </a:p>
      </xdr:txBody>
    </xdr:sp>
    <xdr:clientData/>
  </xdr:twoCellAnchor>
  <xdr:twoCellAnchor>
    <xdr:from>
      <xdr:col>2</xdr:col>
      <xdr:colOff>568826</xdr:colOff>
      <xdr:row>24</xdr:row>
      <xdr:rowOff>12700</xdr:rowOff>
    </xdr:from>
    <xdr:to>
      <xdr:col>3</xdr:col>
      <xdr:colOff>367799</xdr:colOff>
      <xdr:row>24</xdr:row>
      <xdr:rowOff>12700</xdr:rowOff>
    </xdr:to>
    <xdr:cxnSp macro="">
      <xdr:nvCxnSpPr>
        <xdr:cNvPr id="8" name="Straight Arrow Connector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CxnSpPr/>
      </xdr:nvCxnSpPr>
      <xdr:spPr>
        <a:xfrm flipV="1">
          <a:off x="1588001" y="4632325"/>
          <a:ext cx="703848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76201</xdr:colOff>
      <xdr:row>23</xdr:row>
      <xdr:rowOff>69849</xdr:rowOff>
    </xdr:from>
    <xdr:to>
      <xdr:col>2</xdr:col>
      <xdr:colOff>711201</xdr:colOff>
      <xdr:row>24</xdr:row>
      <xdr:rowOff>142874</xdr:rowOff>
    </xdr:to>
    <xdr:sp macro="" textlink="">
      <xdr:nvSpPr>
        <xdr:cNvPr id="12" name="Rectangle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180976" y="4498974"/>
          <a:ext cx="1549400" cy="263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501650</xdr:colOff>
      <xdr:row>21</xdr:row>
      <xdr:rowOff>22225</xdr:rowOff>
    </xdr:from>
    <xdr:to>
      <xdr:col>2</xdr:col>
      <xdr:colOff>882650</xdr:colOff>
      <xdr:row>23</xdr:row>
      <xdr:rowOff>174625</xdr:rowOff>
    </xdr:to>
    <xdr:cxnSp macro="">
      <xdr:nvCxnSpPr>
        <xdr:cNvPr id="13" name="Straight Arrow Connector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520825" y="4070350"/>
          <a:ext cx="381000" cy="53340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702235</xdr:colOff>
      <xdr:row>20</xdr:row>
      <xdr:rowOff>126355</xdr:rowOff>
    </xdr:from>
    <xdr:to>
      <xdr:col>2</xdr:col>
      <xdr:colOff>872567</xdr:colOff>
      <xdr:row>24</xdr:row>
      <xdr:rowOff>1914</xdr:rowOff>
    </xdr:to>
    <xdr:sp macro="" textlink="">
      <xdr:nvSpPr>
        <xdr:cNvPr id="20" name="Rectangle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 rot="3399016">
          <a:off x="1487796" y="4217594"/>
          <a:ext cx="637559" cy="17033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1?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2</xdr:col>
      <xdr:colOff>2323</xdr:colOff>
      <xdr:row>22</xdr:row>
      <xdr:rowOff>107950</xdr:rowOff>
    </xdr:from>
    <xdr:to>
      <xdr:col>2</xdr:col>
      <xdr:colOff>655538</xdr:colOff>
      <xdr:row>22</xdr:row>
      <xdr:rowOff>109538</xdr:rowOff>
    </xdr:to>
    <xdr:cxnSp macro="">
      <xdr:nvCxnSpPr>
        <xdr:cNvPr id="22" name="Straight Arrow Connector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CxnSpPr/>
      </xdr:nvCxnSpPr>
      <xdr:spPr>
        <a:xfrm>
          <a:off x="1021498" y="4346575"/>
          <a:ext cx="653215" cy="1588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766802</xdr:colOff>
      <xdr:row>22</xdr:row>
      <xdr:rowOff>110537</xdr:rowOff>
    </xdr:from>
    <xdr:to>
      <xdr:col>2</xdr:col>
      <xdr:colOff>630198</xdr:colOff>
      <xdr:row>23</xdr:row>
      <xdr:rowOff>74884</xdr:rowOff>
    </xdr:to>
    <xdr:sp macro="" textlink="">
      <xdr:nvSpPr>
        <xdr:cNvPr id="23" name="Rectangle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871577" y="4349162"/>
          <a:ext cx="777796" cy="154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2?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1</xdr:col>
      <xdr:colOff>147808</xdr:colOff>
      <xdr:row>22</xdr:row>
      <xdr:rowOff>3522</xdr:rowOff>
    </xdr:from>
    <xdr:to>
      <xdr:col>2</xdr:col>
      <xdr:colOff>29992</xdr:colOff>
      <xdr:row>23</xdr:row>
      <xdr:rowOff>10449</xdr:rowOff>
    </xdr:to>
    <xdr:sp macro="" textlink="">
      <xdr:nvSpPr>
        <xdr:cNvPr id="24" name="Rectangle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252583" y="4242147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9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828675</xdr:colOff>
      <xdr:row>19</xdr:row>
      <xdr:rowOff>171450</xdr:rowOff>
    </xdr:from>
    <xdr:to>
      <xdr:col>2</xdr:col>
      <xdr:colOff>156845</xdr:colOff>
      <xdr:row>22</xdr:row>
      <xdr:rowOff>33915</xdr:rowOff>
    </xdr:to>
    <xdr:cxnSp macro="">
      <xdr:nvCxnSpPr>
        <xdr:cNvPr id="26" name="Straight Arrow Connector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CxnSpPr/>
      </xdr:nvCxnSpPr>
      <xdr:spPr>
        <a:xfrm>
          <a:off x="933450" y="3838575"/>
          <a:ext cx="242570" cy="433965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185908</xdr:colOff>
      <xdr:row>18</xdr:row>
      <xdr:rowOff>146397</xdr:rowOff>
    </xdr:from>
    <xdr:to>
      <xdr:col>2</xdr:col>
      <xdr:colOff>68092</xdr:colOff>
      <xdr:row>19</xdr:row>
      <xdr:rowOff>153324</xdr:rowOff>
    </xdr:to>
    <xdr:sp macro="" textlink="">
      <xdr:nvSpPr>
        <xdr:cNvPr id="28" name="Rectangle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290683" y="3623022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</a:t>
          </a:r>
        </a:p>
      </xdr:txBody>
    </xdr:sp>
    <xdr:clientData/>
  </xdr:twoCellAnchor>
  <xdr:twoCellAnchor>
    <xdr:from>
      <xdr:col>1</xdr:col>
      <xdr:colOff>683185</xdr:colOff>
      <xdr:row>19</xdr:row>
      <xdr:rowOff>50155</xdr:rowOff>
    </xdr:from>
    <xdr:to>
      <xdr:col>1</xdr:col>
      <xdr:colOff>847167</xdr:colOff>
      <xdr:row>22</xdr:row>
      <xdr:rowOff>116214</xdr:rowOff>
    </xdr:to>
    <xdr:sp macro="" textlink="">
      <xdr:nvSpPr>
        <xdr:cNvPr id="29" name="Rectangle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 rot="3079183">
          <a:off x="551171" y="3954069"/>
          <a:ext cx="637559" cy="1639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3?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7</xdr:col>
      <xdr:colOff>66675</xdr:colOff>
      <xdr:row>0</xdr:row>
      <xdr:rowOff>114300</xdr:rowOff>
    </xdr:from>
    <xdr:to>
      <xdr:col>13</xdr:col>
      <xdr:colOff>485775</xdr:colOff>
      <xdr:row>13</xdr:row>
      <xdr:rowOff>133350</xdr:rowOff>
    </xdr:to>
    <xdr:sp macro="" textlink="">
      <xdr:nvSpPr>
        <xdr:cNvPr id="19" name="Rectangle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5448300" y="114300"/>
          <a:ext cx="4314825" cy="25527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10</xdr:col>
      <xdr:colOff>200025</xdr:colOff>
      <xdr:row>1</xdr:row>
      <xdr:rowOff>19050</xdr:rowOff>
    </xdr:from>
    <xdr:ext cx="2295525" cy="405367"/>
    <xdr:sp macro="" textlink="">
      <xdr:nvSpPr>
        <xdr:cNvPr id="27" name="TextBox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7410450" y="219075"/>
          <a:ext cx="2295525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u="none"/>
            <a:t>Contoh Penulisan</a:t>
          </a:r>
          <a:r>
            <a:rPr lang="en-US" sz="1000" u="none" baseline="0"/>
            <a:t> pada diagram Fishbone/Ishikawa</a:t>
          </a:r>
          <a:endParaRPr lang="en-US" sz="1000" u="none"/>
        </a:p>
      </xdr:txBody>
    </xdr:sp>
    <xdr:clientData/>
  </xdr:oneCellAnchor>
  <xdr:twoCellAnchor>
    <xdr:from>
      <xdr:col>11</xdr:col>
      <xdr:colOff>413385</xdr:colOff>
      <xdr:row>30</xdr:row>
      <xdr:rowOff>113018</xdr:rowOff>
    </xdr:from>
    <xdr:to>
      <xdr:col>13</xdr:col>
      <xdr:colOff>365760</xdr:colOff>
      <xdr:row>32</xdr:row>
      <xdr:rowOff>118110</xdr:rowOff>
    </xdr:to>
    <xdr:sp macro="" textlink="">
      <xdr:nvSpPr>
        <xdr:cNvPr id="33" name="Rectangle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8345805" y="5774678"/>
          <a:ext cx="1461135" cy="3708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>
              <a:solidFill>
                <a:schemeClr val="bg1">
                  <a:lumMod val="65000"/>
                </a:schemeClr>
              </a:solidFill>
              <a:effectLst/>
              <a:latin typeface="+mn-lt"/>
              <a:ea typeface="+mn-ea"/>
              <a:cs typeface="+mn-cs"/>
            </a:rPr>
            <a:t>Di</a:t>
          </a:r>
          <a:r>
            <a:rPr lang="en-US" sz="800" baseline="0">
              <a:solidFill>
                <a:schemeClr val="bg1">
                  <a:lumMod val="65000"/>
                </a:schemeClr>
              </a:solidFill>
              <a:effectLst/>
              <a:latin typeface="+mn-lt"/>
              <a:ea typeface="+mn-ea"/>
              <a:cs typeface="+mn-cs"/>
            </a:rPr>
            <a:t> kepala ikan tuliskan kebalikan dari tema</a:t>
          </a:r>
          <a:br>
            <a:rPr lang="en-US" sz="800" baseline="0">
              <a:solidFill>
                <a:schemeClr val="bg1">
                  <a:lumMod val="6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en-US" sz="800" baseline="0">
              <a:solidFill>
                <a:schemeClr val="bg1">
                  <a:lumMod val="65000"/>
                </a:schemeClr>
              </a:solidFill>
              <a:effectLst/>
              <a:latin typeface="+mn-lt"/>
              <a:ea typeface="+mn-ea"/>
              <a:cs typeface="+mn-cs"/>
            </a:rPr>
            <a:t>Contoh: Jika tema "Menurunkan" maka kepala ikan diisi "Tinggi"</a:t>
          </a:r>
          <a:br>
            <a:rPr lang="en-US" sz="800" baseline="0">
              <a:solidFill>
                <a:schemeClr val="bg1">
                  <a:lumMod val="6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en-US" sz="800" baseline="0">
              <a:solidFill>
                <a:schemeClr val="bg1">
                  <a:lumMod val="6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800" baseline="0">
              <a:solidFill>
                <a:schemeClr val="bg1">
                  <a:lumMod val="6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en-US" sz="800" baseline="0">
              <a:solidFill>
                <a:schemeClr val="bg1">
                  <a:lumMod val="65000"/>
                </a:schemeClr>
              </a:solidFill>
              <a:effectLst/>
              <a:latin typeface="+mn-lt"/>
              <a:ea typeface="+mn-ea"/>
              <a:cs typeface="+mn-cs"/>
            </a:rPr>
            <a:t>Tema: Menurunkan Losis Brondolan</a:t>
          </a:r>
        </a:p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  <a:effectLst/>
              <a:latin typeface="+mn-lt"/>
              <a:ea typeface="+mn-ea"/>
              <a:cs typeface="+mn-cs"/>
            </a:rPr>
            <a:t>Kepala Ikan: Losis Brondolan TInggi</a:t>
          </a:r>
          <a:endParaRPr lang="en-US" sz="400"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46356</xdr:colOff>
      <xdr:row>17</xdr:row>
      <xdr:rowOff>172720</xdr:rowOff>
    </xdr:from>
    <xdr:to>
      <xdr:col>8</xdr:col>
      <xdr:colOff>320673</xdr:colOff>
      <xdr:row>26</xdr:row>
      <xdr:rowOff>83567</xdr:rowOff>
    </xdr:to>
    <xdr:cxnSp macro="">
      <xdr:nvCxnSpPr>
        <xdr:cNvPr id="34" name="Straight Arrow Connector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CxnSpPr>
          <a:stCxn id="35" idx="2"/>
        </xdr:cNvCxnSpPr>
      </xdr:nvCxnSpPr>
      <xdr:spPr>
        <a:xfrm>
          <a:off x="5294631" y="3458845"/>
          <a:ext cx="883917" cy="1625347"/>
        </a:xfrm>
        <a:prstGeom prst="straightConnector1">
          <a:avLst/>
        </a:prstGeom>
        <a:ln w="57150">
          <a:solidFill>
            <a:schemeClr val="accent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218772</xdr:colOff>
      <xdr:row>16</xdr:row>
      <xdr:rowOff>88900</xdr:rowOff>
    </xdr:from>
    <xdr:to>
      <xdr:col>7</xdr:col>
      <xdr:colOff>483539</xdr:colOff>
      <xdr:row>17</xdr:row>
      <xdr:rowOff>172720</xdr:rowOff>
    </xdr:to>
    <xdr:sp macro="" textlink="">
      <xdr:nvSpPr>
        <xdr:cNvPr id="35" name="Rectangle 34">
          <a:extLst>
            <a:ext uri="{FF2B5EF4-FFF2-40B4-BE49-F238E27FC236}">
              <a16:creationId xmlns="" xmlns:a16="http://schemas.microsoft.com/office/drawing/2014/main" id="{00000000-0008-0000-0A00-000023000000}"/>
            </a:ext>
          </a:extLst>
        </xdr:cNvPr>
        <xdr:cNvSpPr/>
      </xdr:nvSpPr>
      <xdr:spPr>
        <a:xfrm>
          <a:off x="4857447" y="3184525"/>
          <a:ext cx="874367" cy="2743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Metode</a:t>
          </a:r>
        </a:p>
      </xdr:txBody>
    </xdr:sp>
    <xdr:clientData/>
  </xdr:twoCellAnchor>
  <xdr:twoCellAnchor>
    <xdr:from>
      <xdr:col>3</xdr:col>
      <xdr:colOff>36831</xdr:colOff>
      <xdr:row>27</xdr:row>
      <xdr:rowOff>28575</xdr:rowOff>
    </xdr:from>
    <xdr:to>
      <xdr:col>3</xdr:col>
      <xdr:colOff>638175</xdr:colOff>
      <xdr:row>35</xdr:row>
      <xdr:rowOff>174625</xdr:rowOff>
    </xdr:to>
    <xdr:cxnSp macro="">
      <xdr:nvCxnSpPr>
        <xdr:cNvPr id="68" name="Straight Arrow Connector 67">
          <a:extLst>
            <a:ext uri="{FF2B5EF4-FFF2-40B4-BE49-F238E27FC236}">
              <a16:creationId xmlns="" xmlns:a16="http://schemas.microsoft.com/office/drawing/2014/main" id="{00000000-0008-0000-0A00-000044000000}"/>
            </a:ext>
          </a:extLst>
        </xdr:cNvPr>
        <xdr:cNvCxnSpPr>
          <a:stCxn id="71" idx="0"/>
        </xdr:cNvCxnSpPr>
      </xdr:nvCxnSpPr>
      <xdr:spPr>
        <a:xfrm flipV="1">
          <a:off x="1960881" y="5219700"/>
          <a:ext cx="601344" cy="1670050"/>
        </a:xfrm>
        <a:prstGeom prst="straightConnector1">
          <a:avLst/>
        </a:prstGeom>
        <a:ln w="57150">
          <a:solidFill>
            <a:schemeClr val="accent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504522</xdr:colOff>
      <xdr:row>35</xdr:row>
      <xdr:rowOff>174625</xdr:rowOff>
    </xdr:from>
    <xdr:to>
      <xdr:col>3</xdr:col>
      <xdr:colOff>474014</xdr:colOff>
      <xdr:row>37</xdr:row>
      <xdr:rowOff>67945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A00-000047000000}"/>
            </a:ext>
          </a:extLst>
        </xdr:cNvPr>
        <xdr:cNvSpPr/>
      </xdr:nvSpPr>
      <xdr:spPr>
        <a:xfrm>
          <a:off x="1523697" y="6889750"/>
          <a:ext cx="874367" cy="2743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Lingkungan</a:t>
          </a:r>
        </a:p>
      </xdr:txBody>
    </xdr:sp>
    <xdr:clientData/>
  </xdr:twoCellAnchor>
  <xdr:twoCellAnchor>
    <xdr:from>
      <xdr:col>1</xdr:col>
      <xdr:colOff>0</xdr:colOff>
      <xdr:row>14</xdr:row>
      <xdr:rowOff>136525</xdr:rowOff>
    </xdr:from>
    <xdr:to>
      <xdr:col>13</xdr:col>
      <xdr:colOff>495300</xdr:colOff>
      <xdr:row>37</xdr:row>
      <xdr:rowOff>146050</xdr:rowOff>
    </xdr:to>
    <xdr:sp macro="" textlink="">
      <xdr:nvSpPr>
        <xdr:cNvPr id="227" name="Rectangle 226">
          <a:extLst>
            <a:ext uri="{FF2B5EF4-FFF2-40B4-BE49-F238E27FC236}">
              <a16:creationId xmlns="" xmlns:a16="http://schemas.microsoft.com/office/drawing/2014/main" id="{00000000-0008-0000-0A00-0000E3000000}"/>
            </a:ext>
          </a:extLst>
        </xdr:cNvPr>
        <xdr:cNvSpPr/>
      </xdr:nvSpPr>
      <xdr:spPr>
        <a:xfrm>
          <a:off x="104775" y="2851150"/>
          <a:ext cx="9534525" cy="4391025"/>
        </a:xfrm>
        <a:prstGeom prst="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130175</xdr:colOff>
      <xdr:row>14</xdr:row>
      <xdr:rowOff>117475</xdr:rowOff>
    </xdr:from>
    <xdr:ext cx="2285999" cy="248851"/>
    <xdr:sp macro="" textlink="">
      <xdr:nvSpPr>
        <xdr:cNvPr id="101" name="TextBox 100">
          <a:extLst>
            <a:ext uri="{FF2B5EF4-FFF2-40B4-BE49-F238E27FC236}">
              <a16:creationId xmlns="" xmlns:a16="http://schemas.microsoft.com/office/drawing/2014/main" id="{00000000-0008-0000-0A00-000065000000}"/>
            </a:ext>
          </a:extLst>
        </xdr:cNvPr>
        <xdr:cNvSpPr txBox="1"/>
      </xdr:nvSpPr>
      <xdr:spPr>
        <a:xfrm>
          <a:off x="368300" y="2847975"/>
          <a:ext cx="2285999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00" b="1" u="sng" baseline="0"/>
            <a:t> FISHBONE/ISHIKAWA DIAGRAM</a:t>
          </a:r>
          <a:endParaRPr lang="en-US" sz="1000" b="1" u="sng"/>
        </a:p>
      </xdr:txBody>
    </xdr:sp>
    <xdr:clientData/>
  </xdr:oneCellAnchor>
  <xdr:twoCellAnchor>
    <xdr:from>
      <xdr:col>9</xdr:col>
      <xdr:colOff>152400</xdr:colOff>
      <xdr:row>15</xdr:row>
      <xdr:rowOff>35717</xdr:rowOff>
    </xdr:from>
    <xdr:to>
      <xdr:col>13</xdr:col>
      <xdr:colOff>292100</xdr:colOff>
      <xdr:row>18</xdr:row>
      <xdr:rowOff>123825</xdr:rowOff>
    </xdr:to>
    <xdr:sp macro="" textlink="">
      <xdr:nvSpPr>
        <xdr:cNvPr id="102" name="Rectangle 101">
          <a:extLst>
            <a:ext uri="{FF2B5EF4-FFF2-40B4-BE49-F238E27FC236}">
              <a16:creationId xmlns="" xmlns:a16="http://schemas.microsoft.com/office/drawing/2014/main" id="{00000000-0008-0000-0A00-000066000000}"/>
            </a:ext>
          </a:extLst>
        </xdr:cNvPr>
        <xdr:cNvSpPr/>
      </xdr:nvSpPr>
      <xdr:spPr>
        <a:xfrm>
          <a:off x="6753225" y="2950367"/>
          <a:ext cx="2816225" cy="6596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Diagram</a:t>
          </a:r>
          <a:r>
            <a:rPr lang="en-US" sz="10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0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Fishbone/Ishikawa ini</a:t>
          </a:r>
          <a:r>
            <a:rPr lang="en-US" sz="10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merupakan ilustrasi atau contoh saja, aktual penulisan disesuaikan dengan faktor atau temuan genba.</a:t>
          </a:r>
          <a:endParaRPr lang="en-US" sz="600" b="1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9</xdr:col>
      <xdr:colOff>190501</xdr:colOff>
      <xdr:row>15</xdr:row>
      <xdr:rowOff>95250</xdr:rowOff>
    </xdr:from>
    <xdr:to>
      <xdr:col>13</xdr:col>
      <xdr:colOff>238126</xdr:colOff>
      <xdr:row>18</xdr:row>
      <xdr:rowOff>76200</xdr:rowOff>
    </xdr:to>
    <xdr:sp macro="" textlink="">
      <xdr:nvSpPr>
        <xdr:cNvPr id="228" name="Rectangle 227">
          <a:extLst>
            <a:ext uri="{FF2B5EF4-FFF2-40B4-BE49-F238E27FC236}">
              <a16:creationId xmlns="" xmlns:a16="http://schemas.microsoft.com/office/drawing/2014/main" id="{00000000-0008-0000-0A00-0000E4000000}"/>
            </a:ext>
          </a:extLst>
        </xdr:cNvPr>
        <xdr:cNvSpPr/>
      </xdr:nvSpPr>
      <xdr:spPr>
        <a:xfrm>
          <a:off x="6791326" y="3009900"/>
          <a:ext cx="2724150" cy="55245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188382</xdr:colOff>
      <xdr:row>13</xdr:row>
      <xdr:rowOff>98582</xdr:rowOff>
    </xdr:from>
    <xdr:to>
      <xdr:col>7</xdr:col>
      <xdr:colOff>378882</xdr:colOff>
      <xdr:row>14</xdr:row>
      <xdr:rowOff>100542</xdr:rowOff>
    </xdr:to>
    <xdr:sp macro="" textlink="">
      <xdr:nvSpPr>
        <xdr:cNvPr id="99" name="Rectangle 98">
          <a:extLst>
            <a:ext uri="{FF2B5EF4-FFF2-40B4-BE49-F238E27FC236}">
              <a16:creationId xmlns="" xmlns:a16="http://schemas.microsoft.com/office/drawing/2014/main" id="{00000000-0008-0000-0A00-000063000000}"/>
            </a:ext>
          </a:extLst>
        </xdr:cNvPr>
        <xdr:cNvSpPr/>
      </xdr:nvSpPr>
      <xdr:spPr>
        <a:xfrm>
          <a:off x="5436657" y="2622707"/>
          <a:ext cx="190500" cy="19246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</xdr:col>
      <xdr:colOff>276226</xdr:colOff>
      <xdr:row>13</xdr:row>
      <xdr:rowOff>47625</xdr:rowOff>
    </xdr:from>
    <xdr:ext cx="495300" cy="247650"/>
    <xdr:sp macro="" textlink="">
      <xdr:nvSpPr>
        <xdr:cNvPr id="100" name="TextBox 99">
          <a:extLst>
            <a:ext uri="{FF2B5EF4-FFF2-40B4-BE49-F238E27FC236}">
              <a16:creationId xmlns="" xmlns:a16="http://schemas.microsoft.com/office/drawing/2014/main" id="{00000000-0008-0000-0A00-000064000000}"/>
            </a:ext>
          </a:extLst>
        </xdr:cNvPr>
        <xdr:cNvSpPr txBox="1"/>
      </xdr:nvSpPr>
      <xdr:spPr>
        <a:xfrm>
          <a:off x="4914901" y="2571750"/>
          <a:ext cx="495300" cy="247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Note :</a:t>
          </a:r>
        </a:p>
      </xdr:txBody>
    </xdr:sp>
    <xdr:clientData/>
  </xdr:oneCellAnchor>
  <xdr:oneCellAnchor>
    <xdr:from>
      <xdr:col>7</xdr:col>
      <xdr:colOff>340790</xdr:colOff>
      <xdr:row>13</xdr:row>
      <xdr:rowOff>62441</xdr:rowOff>
    </xdr:from>
    <xdr:ext cx="3040585" cy="292100"/>
    <xdr:sp macro="" textlink="">
      <xdr:nvSpPr>
        <xdr:cNvPr id="103" name="TextBox 102">
          <a:extLst>
            <a:ext uri="{FF2B5EF4-FFF2-40B4-BE49-F238E27FC236}">
              <a16:creationId xmlns="" xmlns:a16="http://schemas.microsoft.com/office/drawing/2014/main" id="{00000000-0008-0000-0A00-000067000000}"/>
            </a:ext>
          </a:extLst>
        </xdr:cNvPr>
        <xdr:cNvSpPr txBox="1"/>
      </xdr:nvSpPr>
      <xdr:spPr>
        <a:xfrm>
          <a:off x="5589065" y="2586566"/>
          <a:ext cx="3040585" cy="292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Kolom</a:t>
          </a:r>
          <a:r>
            <a:rPr lang="en-US" sz="1100" baseline="0"/>
            <a:t> yang berwarna kuning akan terisi otomatis.</a:t>
          </a:r>
          <a:endParaRPr lang="en-US" sz="1100"/>
        </a:p>
      </xdr:txBody>
    </xdr:sp>
    <xdr:clientData/>
  </xdr:oneCellAnchor>
  <xdr:twoCellAnchor>
    <xdr:from>
      <xdr:col>2</xdr:col>
      <xdr:colOff>90658</xdr:colOff>
      <xdr:row>19</xdr:row>
      <xdr:rowOff>174972</xdr:rowOff>
    </xdr:from>
    <xdr:to>
      <xdr:col>2</xdr:col>
      <xdr:colOff>887242</xdr:colOff>
      <xdr:row>20</xdr:row>
      <xdr:rowOff>181899</xdr:rowOff>
    </xdr:to>
    <xdr:sp macro="" textlink="">
      <xdr:nvSpPr>
        <xdr:cNvPr id="108" name="Rectangle 107">
          <a:extLst>
            <a:ext uri="{FF2B5EF4-FFF2-40B4-BE49-F238E27FC236}">
              <a16:creationId xmlns="" xmlns:a16="http://schemas.microsoft.com/office/drawing/2014/main" id="{00000000-0008-0000-0A00-00006C000000}"/>
            </a:ext>
          </a:extLst>
        </xdr:cNvPr>
        <xdr:cNvSpPr/>
      </xdr:nvSpPr>
      <xdr:spPr>
        <a:xfrm>
          <a:off x="1109833" y="3842097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</a:t>
          </a:r>
        </a:p>
      </xdr:txBody>
    </xdr:sp>
    <xdr:clientData/>
  </xdr:twoCellAnchor>
  <xdr:twoCellAnchor>
    <xdr:from>
      <xdr:col>1</xdr:col>
      <xdr:colOff>257175</xdr:colOff>
      <xdr:row>23</xdr:row>
      <xdr:rowOff>36711</xdr:rowOff>
    </xdr:from>
    <xdr:to>
      <xdr:col>2</xdr:col>
      <xdr:colOff>677692</xdr:colOff>
      <xdr:row>24</xdr:row>
      <xdr:rowOff>71586</xdr:rowOff>
    </xdr:to>
    <xdr:sp macro="" textlink="">
      <xdr:nvSpPr>
        <xdr:cNvPr id="109" name="Rectangle 108">
          <a:extLst>
            <a:ext uri="{FF2B5EF4-FFF2-40B4-BE49-F238E27FC236}">
              <a16:creationId xmlns="" xmlns:a16="http://schemas.microsoft.com/office/drawing/2014/main" id="{00000000-0008-0000-0A00-00006D000000}"/>
            </a:ext>
          </a:extLst>
        </xdr:cNvPr>
        <xdr:cNvSpPr/>
      </xdr:nvSpPr>
      <xdr:spPr>
        <a:xfrm>
          <a:off x="361950" y="4465836"/>
          <a:ext cx="1334917" cy="225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.........................</a:t>
          </a:r>
        </a:p>
      </xdr:txBody>
    </xdr:sp>
    <xdr:clientData/>
  </xdr:twoCellAnchor>
  <xdr:twoCellAnchor>
    <xdr:from>
      <xdr:col>1</xdr:col>
      <xdr:colOff>195433</xdr:colOff>
      <xdr:row>21</xdr:row>
      <xdr:rowOff>183946</xdr:rowOff>
    </xdr:from>
    <xdr:to>
      <xdr:col>2</xdr:col>
      <xdr:colOff>77617</xdr:colOff>
      <xdr:row>22</xdr:row>
      <xdr:rowOff>172925</xdr:rowOff>
    </xdr:to>
    <xdr:sp macro="" textlink="">
      <xdr:nvSpPr>
        <xdr:cNvPr id="114" name="Rectangle 113">
          <a:extLst>
            <a:ext uri="{FF2B5EF4-FFF2-40B4-BE49-F238E27FC236}">
              <a16:creationId xmlns="" xmlns:a16="http://schemas.microsoft.com/office/drawing/2014/main" id="{00000000-0008-0000-0A00-000072000000}"/>
            </a:ext>
          </a:extLst>
        </xdr:cNvPr>
        <xdr:cNvSpPr/>
      </xdr:nvSpPr>
      <xdr:spPr>
        <a:xfrm>
          <a:off x="300208" y="4232071"/>
          <a:ext cx="796584" cy="1794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rgbClr val="FF0000"/>
              </a:solidFill>
            </a:rPr>
            <a:t>................</a:t>
          </a:r>
        </a:p>
      </xdr:txBody>
    </xdr:sp>
    <xdr:clientData/>
  </xdr:twoCellAnchor>
  <xdr:twoCellAnchor>
    <xdr:from>
      <xdr:col>3</xdr:col>
      <xdr:colOff>88019</xdr:colOff>
      <xdr:row>20</xdr:row>
      <xdr:rowOff>9525</xdr:rowOff>
    </xdr:from>
    <xdr:to>
      <xdr:col>3</xdr:col>
      <xdr:colOff>616831</xdr:colOff>
      <xdr:row>20</xdr:row>
      <xdr:rowOff>9525</xdr:rowOff>
    </xdr:to>
    <xdr:cxnSp macro="">
      <xdr:nvCxnSpPr>
        <xdr:cNvPr id="118" name="Straight Arrow Connector 117">
          <a:extLst>
            <a:ext uri="{FF2B5EF4-FFF2-40B4-BE49-F238E27FC236}">
              <a16:creationId xmlns="" xmlns:a16="http://schemas.microsoft.com/office/drawing/2014/main" id="{00000000-0008-0000-0A00-000076000000}"/>
            </a:ext>
          </a:extLst>
        </xdr:cNvPr>
        <xdr:cNvCxnSpPr/>
      </xdr:nvCxnSpPr>
      <xdr:spPr>
        <a:xfrm rot="10800000" flipV="1">
          <a:off x="2012069" y="3867150"/>
          <a:ext cx="528812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600074</xdr:colOff>
      <xdr:row>19</xdr:row>
      <xdr:rowOff>76201</xdr:rowOff>
    </xdr:from>
    <xdr:to>
      <xdr:col>5</xdr:col>
      <xdr:colOff>38099</xdr:colOff>
      <xdr:row>20</xdr:row>
      <xdr:rowOff>57150</xdr:rowOff>
    </xdr:to>
    <xdr:sp macro="" textlink="">
      <xdr:nvSpPr>
        <xdr:cNvPr id="136" name="Rectangle 135">
          <a:extLst>
            <a:ext uri="{FF2B5EF4-FFF2-40B4-BE49-F238E27FC236}">
              <a16:creationId xmlns="" xmlns:a16="http://schemas.microsoft.com/office/drawing/2014/main" id="{00000000-0008-0000-0A00-000088000000}"/>
            </a:ext>
          </a:extLst>
        </xdr:cNvPr>
        <xdr:cNvSpPr/>
      </xdr:nvSpPr>
      <xdr:spPr>
        <a:xfrm>
          <a:off x="2524124" y="3743326"/>
          <a:ext cx="1247775" cy="1714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...................................</a:t>
          </a:r>
        </a:p>
      </xdr:txBody>
    </xdr:sp>
    <xdr:clientData/>
  </xdr:twoCellAnchor>
  <xdr:twoCellAnchor>
    <xdr:from>
      <xdr:col>3</xdr:col>
      <xdr:colOff>333376</xdr:colOff>
      <xdr:row>20</xdr:row>
      <xdr:rowOff>28577</xdr:rowOff>
    </xdr:from>
    <xdr:to>
      <xdr:col>3</xdr:col>
      <xdr:colOff>733425</xdr:colOff>
      <xdr:row>23</xdr:row>
      <xdr:rowOff>133350</xdr:rowOff>
    </xdr:to>
    <xdr:cxnSp macro="">
      <xdr:nvCxnSpPr>
        <xdr:cNvPr id="137" name="Straight Arrow Connector 136">
          <a:extLst>
            <a:ext uri="{FF2B5EF4-FFF2-40B4-BE49-F238E27FC236}">
              <a16:creationId xmlns="" xmlns:a16="http://schemas.microsoft.com/office/drawing/2014/main" id="{00000000-0008-0000-0A00-000089000000}"/>
            </a:ext>
          </a:extLst>
        </xdr:cNvPr>
        <xdr:cNvCxnSpPr/>
      </xdr:nvCxnSpPr>
      <xdr:spPr>
        <a:xfrm flipH="1" flipV="1">
          <a:off x="2257426" y="3886202"/>
          <a:ext cx="400049" cy="676273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383084</xdr:colOff>
      <xdr:row>23</xdr:row>
      <xdr:rowOff>66675</xdr:rowOff>
    </xdr:from>
    <xdr:to>
      <xdr:col>4</xdr:col>
      <xdr:colOff>442075</xdr:colOff>
      <xdr:row>24</xdr:row>
      <xdr:rowOff>73602</xdr:rowOff>
    </xdr:to>
    <xdr:sp macro="" textlink="">
      <xdr:nvSpPr>
        <xdr:cNvPr id="138" name="Rectangle 137">
          <a:extLst>
            <a:ext uri="{FF2B5EF4-FFF2-40B4-BE49-F238E27FC236}">
              <a16:creationId xmlns="" xmlns:a16="http://schemas.microsoft.com/office/drawing/2014/main" id="{00000000-0008-0000-0A00-00008A000000}"/>
            </a:ext>
          </a:extLst>
        </xdr:cNvPr>
        <xdr:cNvSpPr/>
      </xdr:nvSpPr>
      <xdr:spPr>
        <a:xfrm>
          <a:off x="2307134" y="4495800"/>
          <a:ext cx="963866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</a:t>
          </a:r>
        </a:p>
      </xdr:txBody>
    </xdr:sp>
    <xdr:clientData/>
  </xdr:twoCellAnchor>
  <xdr:twoCellAnchor editAs="oneCell">
    <xdr:from>
      <xdr:col>2</xdr:col>
      <xdr:colOff>809625</xdr:colOff>
      <xdr:row>18</xdr:row>
      <xdr:rowOff>38101</xdr:rowOff>
    </xdr:from>
    <xdr:to>
      <xdr:col>4</xdr:col>
      <xdr:colOff>419100</xdr:colOff>
      <xdr:row>19</xdr:row>
      <xdr:rowOff>114301</xdr:rowOff>
    </xdr:to>
    <xdr:pic>
      <xdr:nvPicPr>
        <xdr:cNvPr id="14" name="Picture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3805" b="23252"/>
        <a:stretch/>
      </xdr:blipFill>
      <xdr:spPr>
        <a:xfrm>
          <a:off x="1828800" y="3514726"/>
          <a:ext cx="1419225" cy="266700"/>
        </a:xfrm>
        <a:prstGeom prst="rect">
          <a:avLst/>
        </a:prstGeom>
      </xdr:spPr>
    </xdr:pic>
    <xdr:clientData/>
  </xdr:twoCellAnchor>
  <xdr:twoCellAnchor>
    <xdr:from>
      <xdr:col>3</xdr:col>
      <xdr:colOff>387909</xdr:colOff>
      <xdr:row>20</xdr:row>
      <xdr:rowOff>135880</xdr:rowOff>
    </xdr:from>
    <xdr:to>
      <xdr:col>3</xdr:col>
      <xdr:colOff>558241</xdr:colOff>
      <xdr:row>24</xdr:row>
      <xdr:rowOff>11439</xdr:rowOff>
    </xdr:to>
    <xdr:sp macro="" textlink="">
      <xdr:nvSpPr>
        <xdr:cNvPr id="139" name="Rectangle 138">
          <a:extLst>
            <a:ext uri="{FF2B5EF4-FFF2-40B4-BE49-F238E27FC236}">
              <a16:creationId xmlns="" xmlns:a16="http://schemas.microsoft.com/office/drawing/2014/main" id="{00000000-0008-0000-0A00-00008B000000}"/>
            </a:ext>
          </a:extLst>
        </xdr:cNvPr>
        <xdr:cNvSpPr/>
      </xdr:nvSpPr>
      <xdr:spPr>
        <a:xfrm rot="3576702">
          <a:off x="2078345" y="4227119"/>
          <a:ext cx="637559" cy="17033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1?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3</xdr:col>
      <xdr:colOff>517966</xdr:colOff>
      <xdr:row>21</xdr:row>
      <xdr:rowOff>95250</xdr:rowOff>
    </xdr:from>
    <xdr:to>
      <xdr:col>4</xdr:col>
      <xdr:colOff>247650</xdr:colOff>
      <xdr:row>21</xdr:row>
      <xdr:rowOff>97255</xdr:rowOff>
    </xdr:to>
    <xdr:cxnSp macro="">
      <xdr:nvCxnSpPr>
        <xdr:cNvPr id="140" name="Straight Arrow Connector 139">
          <a:extLst>
            <a:ext uri="{FF2B5EF4-FFF2-40B4-BE49-F238E27FC236}">
              <a16:creationId xmlns="" xmlns:a16="http://schemas.microsoft.com/office/drawing/2014/main" id="{00000000-0008-0000-0A00-00008C000000}"/>
            </a:ext>
          </a:extLst>
        </xdr:cNvPr>
        <xdr:cNvCxnSpPr/>
      </xdr:nvCxnSpPr>
      <xdr:spPr>
        <a:xfrm flipH="1">
          <a:off x="2442016" y="4143375"/>
          <a:ext cx="634559" cy="2005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481052</xdr:colOff>
      <xdr:row>21</xdr:row>
      <xdr:rowOff>101012</xdr:rowOff>
    </xdr:from>
    <xdr:to>
      <xdr:col>4</xdr:col>
      <xdr:colOff>353973</xdr:colOff>
      <xdr:row>22</xdr:row>
      <xdr:rowOff>65359</xdr:rowOff>
    </xdr:to>
    <xdr:sp macro="" textlink="">
      <xdr:nvSpPr>
        <xdr:cNvPr id="141" name="Rectangle 140">
          <a:extLst>
            <a:ext uri="{FF2B5EF4-FFF2-40B4-BE49-F238E27FC236}">
              <a16:creationId xmlns="" xmlns:a16="http://schemas.microsoft.com/office/drawing/2014/main" id="{00000000-0008-0000-0A00-00008D000000}"/>
            </a:ext>
          </a:extLst>
        </xdr:cNvPr>
        <xdr:cNvSpPr/>
      </xdr:nvSpPr>
      <xdr:spPr>
        <a:xfrm>
          <a:off x="2405102" y="4149137"/>
          <a:ext cx="777796" cy="154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2?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3</xdr:col>
      <xdr:colOff>885824</xdr:colOff>
      <xdr:row>20</xdr:row>
      <xdr:rowOff>85725</xdr:rowOff>
    </xdr:from>
    <xdr:to>
      <xdr:col>5</xdr:col>
      <xdr:colOff>245451</xdr:colOff>
      <xdr:row>21</xdr:row>
      <xdr:rowOff>76200</xdr:rowOff>
    </xdr:to>
    <xdr:sp macro="" textlink="">
      <xdr:nvSpPr>
        <xdr:cNvPr id="142" name="Rectangle 141">
          <a:extLst>
            <a:ext uri="{FF2B5EF4-FFF2-40B4-BE49-F238E27FC236}">
              <a16:creationId xmlns="" xmlns:a16="http://schemas.microsoft.com/office/drawing/2014/main" id="{00000000-0008-0000-0A00-00008E000000}"/>
            </a:ext>
          </a:extLst>
        </xdr:cNvPr>
        <xdr:cNvSpPr/>
      </xdr:nvSpPr>
      <xdr:spPr>
        <a:xfrm>
          <a:off x="2809874" y="3943350"/>
          <a:ext cx="1169377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..............................</a:t>
          </a:r>
          <a:endParaRPr lang="en-US" sz="900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152401</xdr:colOff>
      <xdr:row>21</xdr:row>
      <xdr:rowOff>114302</xdr:rowOff>
    </xdr:from>
    <xdr:to>
      <xdr:col>4</xdr:col>
      <xdr:colOff>552450</xdr:colOff>
      <xdr:row>25</xdr:row>
      <xdr:rowOff>28575</xdr:rowOff>
    </xdr:to>
    <xdr:cxnSp macro="">
      <xdr:nvCxnSpPr>
        <xdr:cNvPr id="143" name="Straight Arrow Connector 142">
          <a:extLst>
            <a:ext uri="{FF2B5EF4-FFF2-40B4-BE49-F238E27FC236}">
              <a16:creationId xmlns="" xmlns:a16="http://schemas.microsoft.com/office/drawing/2014/main" id="{00000000-0008-0000-0A00-00008F000000}"/>
            </a:ext>
          </a:extLst>
        </xdr:cNvPr>
        <xdr:cNvCxnSpPr/>
      </xdr:nvCxnSpPr>
      <xdr:spPr>
        <a:xfrm flipH="1" flipV="1">
          <a:off x="2981326" y="4162427"/>
          <a:ext cx="400049" cy="676273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152400</xdr:colOff>
      <xdr:row>25</xdr:row>
      <xdr:rowOff>19050</xdr:rowOff>
    </xdr:from>
    <xdr:to>
      <xdr:col>5</xdr:col>
      <xdr:colOff>211391</xdr:colOff>
      <xdr:row>26</xdr:row>
      <xdr:rowOff>25977</xdr:rowOff>
    </xdr:to>
    <xdr:sp macro="" textlink="">
      <xdr:nvSpPr>
        <xdr:cNvPr id="144" name="Rectangle 143">
          <a:extLst>
            <a:ext uri="{FF2B5EF4-FFF2-40B4-BE49-F238E27FC236}">
              <a16:creationId xmlns="" xmlns:a16="http://schemas.microsoft.com/office/drawing/2014/main" id="{00000000-0008-0000-0A00-000090000000}"/>
            </a:ext>
          </a:extLst>
        </xdr:cNvPr>
        <xdr:cNvSpPr/>
      </xdr:nvSpPr>
      <xdr:spPr>
        <a:xfrm>
          <a:off x="2981325" y="4829175"/>
          <a:ext cx="963866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</a:t>
          </a:r>
        </a:p>
      </xdr:txBody>
    </xdr:sp>
    <xdr:clientData/>
  </xdr:twoCellAnchor>
  <xdr:twoCellAnchor>
    <xdr:from>
      <xdr:col>6</xdr:col>
      <xdr:colOff>521200</xdr:colOff>
      <xdr:row>23</xdr:row>
      <xdr:rowOff>184149</xdr:rowOff>
    </xdr:from>
    <xdr:to>
      <xdr:col>8</xdr:col>
      <xdr:colOff>5848</xdr:colOff>
      <xdr:row>23</xdr:row>
      <xdr:rowOff>184149</xdr:rowOff>
    </xdr:to>
    <xdr:cxnSp macro="">
      <xdr:nvCxnSpPr>
        <xdr:cNvPr id="145" name="Straight Arrow Connector 144">
          <a:extLst>
            <a:ext uri="{FF2B5EF4-FFF2-40B4-BE49-F238E27FC236}">
              <a16:creationId xmlns="" xmlns:a16="http://schemas.microsoft.com/office/drawing/2014/main" id="{00000000-0008-0000-0A00-000091000000}"/>
            </a:ext>
          </a:extLst>
        </xdr:cNvPr>
        <xdr:cNvCxnSpPr/>
      </xdr:nvCxnSpPr>
      <xdr:spPr>
        <a:xfrm flipV="1">
          <a:off x="5159875" y="4613274"/>
          <a:ext cx="703848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444499</xdr:colOff>
      <xdr:row>24</xdr:row>
      <xdr:rowOff>50799</xdr:rowOff>
    </xdr:from>
    <xdr:to>
      <xdr:col>7</xdr:col>
      <xdr:colOff>549274</xdr:colOff>
      <xdr:row>25</xdr:row>
      <xdr:rowOff>134619</xdr:rowOff>
    </xdr:to>
    <xdr:sp macro="" textlink="">
      <xdr:nvSpPr>
        <xdr:cNvPr id="146" name="Rectangle 145">
          <a:extLst>
            <a:ext uri="{FF2B5EF4-FFF2-40B4-BE49-F238E27FC236}">
              <a16:creationId xmlns="" xmlns:a16="http://schemas.microsoft.com/office/drawing/2014/main" id="{00000000-0008-0000-0A00-000092000000}"/>
            </a:ext>
          </a:extLst>
        </xdr:cNvPr>
        <xdr:cNvSpPr/>
      </xdr:nvSpPr>
      <xdr:spPr>
        <a:xfrm>
          <a:off x="4178299" y="4670424"/>
          <a:ext cx="161925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>
              <a:solidFill>
                <a:schemeClr val="bg1">
                  <a:lumMod val="65000"/>
                </a:schemeClr>
              </a:solidFill>
            </a:rPr>
            <a:t>Tulang pertama diisi</a:t>
          </a:r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  dari hasil temuan genba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6</xdr:col>
      <xdr:colOff>454024</xdr:colOff>
      <xdr:row>21</xdr:row>
      <xdr:rowOff>3174</xdr:rowOff>
    </xdr:from>
    <xdr:to>
      <xdr:col>7</xdr:col>
      <xdr:colOff>225424</xdr:colOff>
      <xdr:row>23</xdr:row>
      <xdr:rowOff>155574</xdr:rowOff>
    </xdr:to>
    <xdr:cxnSp macro="">
      <xdr:nvCxnSpPr>
        <xdr:cNvPr id="148" name="Straight Arrow Connector 147">
          <a:extLst>
            <a:ext uri="{FF2B5EF4-FFF2-40B4-BE49-F238E27FC236}">
              <a16:creationId xmlns="" xmlns:a16="http://schemas.microsoft.com/office/drawing/2014/main" id="{00000000-0008-0000-0A00-000094000000}"/>
            </a:ext>
          </a:extLst>
        </xdr:cNvPr>
        <xdr:cNvCxnSpPr/>
      </xdr:nvCxnSpPr>
      <xdr:spPr>
        <a:xfrm>
          <a:off x="5092699" y="4051299"/>
          <a:ext cx="381000" cy="53340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45009</xdr:colOff>
      <xdr:row>20</xdr:row>
      <xdr:rowOff>107304</xdr:rowOff>
    </xdr:from>
    <xdr:to>
      <xdr:col>7</xdr:col>
      <xdr:colOff>215341</xdr:colOff>
      <xdr:row>23</xdr:row>
      <xdr:rowOff>173363</xdr:rowOff>
    </xdr:to>
    <xdr:sp macro="" textlink="">
      <xdr:nvSpPr>
        <xdr:cNvPr id="149" name="Rectangle 148">
          <a:extLst>
            <a:ext uri="{FF2B5EF4-FFF2-40B4-BE49-F238E27FC236}">
              <a16:creationId xmlns="" xmlns:a16="http://schemas.microsoft.com/office/drawing/2014/main" id="{00000000-0008-0000-0A00-000095000000}"/>
            </a:ext>
          </a:extLst>
        </xdr:cNvPr>
        <xdr:cNvSpPr/>
      </xdr:nvSpPr>
      <xdr:spPr>
        <a:xfrm rot="3399016">
          <a:off x="5059670" y="4198543"/>
          <a:ext cx="637559" cy="17033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1?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5</xdr:col>
      <xdr:colOff>859572</xdr:colOff>
      <xdr:row>22</xdr:row>
      <xdr:rowOff>88899</xdr:rowOff>
    </xdr:from>
    <xdr:to>
      <xdr:col>6</xdr:col>
      <xdr:colOff>607912</xdr:colOff>
      <xdr:row>22</xdr:row>
      <xdr:rowOff>90487</xdr:rowOff>
    </xdr:to>
    <xdr:cxnSp macro="">
      <xdr:nvCxnSpPr>
        <xdr:cNvPr id="150" name="Straight Arrow Connector 149">
          <a:extLst>
            <a:ext uri="{FF2B5EF4-FFF2-40B4-BE49-F238E27FC236}">
              <a16:creationId xmlns="" xmlns:a16="http://schemas.microsoft.com/office/drawing/2014/main" id="{00000000-0008-0000-0A00-000096000000}"/>
            </a:ext>
          </a:extLst>
        </xdr:cNvPr>
        <xdr:cNvCxnSpPr/>
      </xdr:nvCxnSpPr>
      <xdr:spPr>
        <a:xfrm>
          <a:off x="4593372" y="4327524"/>
          <a:ext cx="653215" cy="1588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709651</xdr:colOff>
      <xdr:row>22</xdr:row>
      <xdr:rowOff>91486</xdr:rowOff>
    </xdr:from>
    <xdr:to>
      <xdr:col>6</xdr:col>
      <xdr:colOff>582572</xdr:colOff>
      <xdr:row>23</xdr:row>
      <xdr:rowOff>55833</xdr:rowOff>
    </xdr:to>
    <xdr:sp macro="" textlink="">
      <xdr:nvSpPr>
        <xdr:cNvPr id="151" name="Rectangle 150">
          <a:extLst>
            <a:ext uri="{FF2B5EF4-FFF2-40B4-BE49-F238E27FC236}">
              <a16:creationId xmlns="" xmlns:a16="http://schemas.microsoft.com/office/drawing/2014/main" id="{00000000-0008-0000-0A00-000097000000}"/>
            </a:ext>
          </a:extLst>
        </xdr:cNvPr>
        <xdr:cNvSpPr/>
      </xdr:nvSpPr>
      <xdr:spPr>
        <a:xfrm>
          <a:off x="4443451" y="4330111"/>
          <a:ext cx="777796" cy="154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2?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5</xdr:col>
      <xdr:colOff>90657</xdr:colOff>
      <xdr:row>21</xdr:row>
      <xdr:rowOff>174971</xdr:rowOff>
    </xdr:from>
    <xdr:to>
      <xdr:col>5</xdr:col>
      <xdr:colOff>887241</xdr:colOff>
      <xdr:row>22</xdr:row>
      <xdr:rowOff>181898</xdr:rowOff>
    </xdr:to>
    <xdr:sp macro="" textlink="">
      <xdr:nvSpPr>
        <xdr:cNvPr id="152" name="Rectangle 151">
          <a:extLst>
            <a:ext uri="{FF2B5EF4-FFF2-40B4-BE49-F238E27FC236}">
              <a16:creationId xmlns="" xmlns:a16="http://schemas.microsoft.com/office/drawing/2014/main" id="{00000000-0008-0000-0A00-000098000000}"/>
            </a:ext>
          </a:extLst>
        </xdr:cNvPr>
        <xdr:cNvSpPr/>
      </xdr:nvSpPr>
      <xdr:spPr>
        <a:xfrm>
          <a:off x="3824457" y="4223096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Tidak</a:t>
          </a:r>
          <a:r>
            <a:rPr lang="en-US" sz="900" baseline="0">
              <a:solidFill>
                <a:schemeClr val="bg1"/>
              </a:solidFill>
            </a:rPr>
            <a:t> ada training</a:t>
          </a:r>
          <a:endParaRPr lang="en-US" sz="9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771524</xdr:colOff>
      <xdr:row>19</xdr:row>
      <xdr:rowOff>152399</xdr:rowOff>
    </xdr:from>
    <xdr:to>
      <xdr:col>6</xdr:col>
      <xdr:colOff>109219</xdr:colOff>
      <xdr:row>22</xdr:row>
      <xdr:rowOff>14864</xdr:rowOff>
    </xdr:to>
    <xdr:cxnSp macro="">
      <xdr:nvCxnSpPr>
        <xdr:cNvPr id="153" name="Straight Arrow Connector 152">
          <a:extLst>
            <a:ext uri="{FF2B5EF4-FFF2-40B4-BE49-F238E27FC236}">
              <a16:creationId xmlns="" xmlns:a16="http://schemas.microsoft.com/office/drawing/2014/main" id="{00000000-0008-0000-0A00-000099000000}"/>
            </a:ext>
          </a:extLst>
        </xdr:cNvPr>
        <xdr:cNvCxnSpPr/>
      </xdr:nvCxnSpPr>
      <xdr:spPr>
        <a:xfrm>
          <a:off x="4505324" y="3819524"/>
          <a:ext cx="242570" cy="433965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128757</xdr:colOff>
      <xdr:row>18</xdr:row>
      <xdr:rowOff>127346</xdr:rowOff>
    </xdr:from>
    <xdr:to>
      <xdr:col>6</xdr:col>
      <xdr:colOff>20466</xdr:colOff>
      <xdr:row>19</xdr:row>
      <xdr:rowOff>134273</xdr:rowOff>
    </xdr:to>
    <xdr:sp macro="" textlink="">
      <xdr:nvSpPr>
        <xdr:cNvPr id="154" name="Rectangle 153">
          <a:extLst>
            <a:ext uri="{FF2B5EF4-FFF2-40B4-BE49-F238E27FC236}">
              <a16:creationId xmlns="" xmlns:a16="http://schemas.microsoft.com/office/drawing/2014/main" id="{00000000-0008-0000-0A00-00009A000000}"/>
            </a:ext>
          </a:extLst>
        </xdr:cNvPr>
        <xdr:cNvSpPr/>
      </xdr:nvSpPr>
      <xdr:spPr>
        <a:xfrm>
          <a:off x="3862557" y="3603971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</a:t>
          </a:r>
        </a:p>
      </xdr:txBody>
    </xdr:sp>
    <xdr:clientData/>
  </xdr:twoCellAnchor>
  <xdr:twoCellAnchor>
    <xdr:from>
      <xdr:col>5</xdr:col>
      <xdr:colOff>626034</xdr:colOff>
      <xdr:row>19</xdr:row>
      <xdr:rowOff>31104</xdr:rowOff>
    </xdr:from>
    <xdr:to>
      <xdr:col>5</xdr:col>
      <xdr:colOff>790016</xdr:colOff>
      <xdr:row>22</xdr:row>
      <xdr:rowOff>97163</xdr:rowOff>
    </xdr:to>
    <xdr:sp macro="" textlink="">
      <xdr:nvSpPr>
        <xdr:cNvPr id="155" name="Rectangle 154">
          <a:extLst>
            <a:ext uri="{FF2B5EF4-FFF2-40B4-BE49-F238E27FC236}">
              <a16:creationId xmlns="" xmlns:a16="http://schemas.microsoft.com/office/drawing/2014/main" id="{00000000-0008-0000-0A00-00009B000000}"/>
            </a:ext>
          </a:extLst>
        </xdr:cNvPr>
        <xdr:cNvSpPr/>
      </xdr:nvSpPr>
      <xdr:spPr>
        <a:xfrm rot="3079183">
          <a:off x="4123045" y="3935018"/>
          <a:ext cx="637559" cy="1639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3?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6</xdr:col>
      <xdr:colOff>43032</xdr:colOff>
      <xdr:row>19</xdr:row>
      <xdr:rowOff>155921</xdr:rowOff>
    </xdr:from>
    <xdr:to>
      <xdr:col>7</xdr:col>
      <xdr:colOff>230016</xdr:colOff>
      <xdr:row>20</xdr:row>
      <xdr:rowOff>162848</xdr:rowOff>
    </xdr:to>
    <xdr:sp macro="" textlink="">
      <xdr:nvSpPr>
        <xdr:cNvPr id="156" name="Rectangle 155">
          <a:extLst>
            <a:ext uri="{FF2B5EF4-FFF2-40B4-BE49-F238E27FC236}">
              <a16:creationId xmlns="" xmlns:a16="http://schemas.microsoft.com/office/drawing/2014/main" id="{00000000-0008-0000-0A00-00009C000000}"/>
            </a:ext>
          </a:extLst>
        </xdr:cNvPr>
        <xdr:cNvSpPr/>
      </xdr:nvSpPr>
      <xdr:spPr>
        <a:xfrm>
          <a:off x="4681707" y="3823046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rgbClr val="FF0000"/>
              </a:solidFill>
            </a:rPr>
            <a:t>..................</a:t>
          </a:r>
        </a:p>
      </xdr:txBody>
    </xdr:sp>
    <xdr:clientData/>
  </xdr:twoCellAnchor>
  <xdr:twoCellAnchor>
    <xdr:from>
      <xdr:col>4</xdr:col>
      <xdr:colOff>847725</xdr:colOff>
      <xdr:row>21</xdr:row>
      <xdr:rowOff>19050</xdr:rowOff>
    </xdr:from>
    <xdr:to>
      <xdr:col>6</xdr:col>
      <xdr:colOff>39516</xdr:colOff>
      <xdr:row>22</xdr:row>
      <xdr:rowOff>161926</xdr:rowOff>
    </xdr:to>
    <xdr:sp macro="" textlink="">
      <xdr:nvSpPr>
        <xdr:cNvPr id="158" name="Rectangle 157">
          <a:extLst>
            <a:ext uri="{FF2B5EF4-FFF2-40B4-BE49-F238E27FC236}">
              <a16:creationId xmlns="" xmlns:a16="http://schemas.microsoft.com/office/drawing/2014/main" id="{00000000-0008-0000-0A00-00009E000000}"/>
            </a:ext>
          </a:extLst>
        </xdr:cNvPr>
        <xdr:cNvSpPr/>
      </xdr:nvSpPr>
      <xdr:spPr>
        <a:xfrm>
          <a:off x="3676650" y="4067175"/>
          <a:ext cx="1001541" cy="3333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.........................</a:t>
          </a:r>
        </a:p>
      </xdr:txBody>
    </xdr:sp>
    <xdr:clientData/>
  </xdr:twoCellAnchor>
  <xdr:twoCellAnchor>
    <xdr:from>
      <xdr:col>7</xdr:col>
      <xdr:colOff>335668</xdr:colOff>
      <xdr:row>19</xdr:row>
      <xdr:rowOff>180974</xdr:rowOff>
    </xdr:from>
    <xdr:to>
      <xdr:col>8</xdr:col>
      <xdr:colOff>254880</xdr:colOff>
      <xdr:row>19</xdr:row>
      <xdr:rowOff>180974</xdr:rowOff>
    </xdr:to>
    <xdr:cxnSp macro="">
      <xdr:nvCxnSpPr>
        <xdr:cNvPr id="159" name="Straight Arrow Connector 158">
          <a:extLst>
            <a:ext uri="{FF2B5EF4-FFF2-40B4-BE49-F238E27FC236}">
              <a16:creationId xmlns="" xmlns:a16="http://schemas.microsoft.com/office/drawing/2014/main" id="{00000000-0008-0000-0A00-00009F000000}"/>
            </a:ext>
          </a:extLst>
        </xdr:cNvPr>
        <xdr:cNvCxnSpPr/>
      </xdr:nvCxnSpPr>
      <xdr:spPr>
        <a:xfrm rot="10800000" flipV="1">
          <a:off x="5583943" y="3848099"/>
          <a:ext cx="528812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20</xdr:row>
      <xdr:rowOff>9526</xdr:rowOff>
    </xdr:from>
    <xdr:to>
      <xdr:col>8</xdr:col>
      <xdr:colOff>371474</xdr:colOff>
      <xdr:row>23</xdr:row>
      <xdr:rowOff>114299</xdr:rowOff>
    </xdr:to>
    <xdr:cxnSp macro="">
      <xdr:nvCxnSpPr>
        <xdr:cNvPr id="161" name="Straight Arrow Connector 160">
          <a:extLst>
            <a:ext uri="{FF2B5EF4-FFF2-40B4-BE49-F238E27FC236}">
              <a16:creationId xmlns="" xmlns:a16="http://schemas.microsoft.com/office/drawing/2014/main" id="{00000000-0008-0000-0A00-0000A1000000}"/>
            </a:ext>
          </a:extLst>
        </xdr:cNvPr>
        <xdr:cNvCxnSpPr/>
      </xdr:nvCxnSpPr>
      <xdr:spPr>
        <a:xfrm flipH="1" flipV="1">
          <a:off x="5829300" y="3867151"/>
          <a:ext cx="400049" cy="676273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21133</xdr:colOff>
      <xdr:row>23</xdr:row>
      <xdr:rowOff>47624</xdr:rowOff>
    </xdr:from>
    <xdr:to>
      <xdr:col>9</xdr:col>
      <xdr:colOff>200025</xdr:colOff>
      <xdr:row>24</xdr:row>
      <xdr:rowOff>95250</xdr:rowOff>
    </xdr:to>
    <xdr:sp macro="" textlink="">
      <xdr:nvSpPr>
        <xdr:cNvPr id="162" name="Rectangle 161">
          <a:extLst>
            <a:ext uri="{FF2B5EF4-FFF2-40B4-BE49-F238E27FC236}">
              <a16:creationId xmlns="" xmlns:a16="http://schemas.microsoft.com/office/drawing/2014/main" id="{00000000-0008-0000-0A00-0000A2000000}"/>
            </a:ext>
          </a:extLst>
        </xdr:cNvPr>
        <xdr:cNvSpPr/>
      </xdr:nvSpPr>
      <xdr:spPr>
        <a:xfrm>
          <a:off x="5879008" y="4476749"/>
          <a:ext cx="788492" cy="2381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</a:t>
          </a:r>
        </a:p>
      </xdr:txBody>
    </xdr:sp>
    <xdr:clientData/>
  </xdr:twoCellAnchor>
  <xdr:twoCellAnchor editAs="oneCell">
    <xdr:from>
      <xdr:col>7</xdr:col>
      <xdr:colOff>152399</xdr:colOff>
      <xdr:row>18</xdr:row>
      <xdr:rowOff>19050</xdr:rowOff>
    </xdr:from>
    <xdr:to>
      <xdr:col>9</xdr:col>
      <xdr:colOff>352424</xdr:colOff>
      <xdr:row>19</xdr:row>
      <xdr:rowOff>95250</xdr:rowOff>
    </xdr:to>
    <xdr:pic>
      <xdr:nvPicPr>
        <xdr:cNvPr id="163" name="Picture 162">
          <a:extLst>
            <a:ext uri="{FF2B5EF4-FFF2-40B4-BE49-F238E27FC236}">
              <a16:creationId xmlns=""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3805" b="23252"/>
        <a:stretch/>
      </xdr:blipFill>
      <xdr:spPr>
        <a:xfrm>
          <a:off x="5400674" y="3495675"/>
          <a:ext cx="1419225" cy="266700"/>
        </a:xfrm>
        <a:prstGeom prst="rect">
          <a:avLst/>
        </a:prstGeom>
      </xdr:spPr>
    </xdr:pic>
    <xdr:clientData/>
  </xdr:twoCellAnchor>
  <xdr:twoCellAnchor>
    <xdr:from>
      <xdr:col>8</xdr:col>
      <xdr:colOff>25958</xdr:colOff>
      <xdr:row>20</xdr:row>
      <xdr:rowOff>116829</xdr:rowOff>
    </xdr:from>
    <xdr:to>
      <xdr:col>8</xdr:col>
      <xdr:colOff>196290</xdr:colOff>
      <xdr:row>23</xdr:row>
      <xdr:rowOff>182888</xdr:rowOff>
    </xdr:to>
    <xdr:sp macro="" textlink="">
      <xdr:nvSpPr>
        <xdr:cNvPr id="164" name="Rectangle 163">
          <a:extLst>
            <a:ext uri="{FF2B5EF4-FFF2-40B4-BE49-F238E27FC236}">
              <a16:creationId xmlns="" xmlns:a16="http://schemas.microsoft.com/office/drawing/2014/main" id="{00000000-0008-0000-0A00-0000A4000000}"/>
            </a:ext>
          </a:extLst>
        </xdr:cNvPr>
        <xdr:cNvSpPr/>
      </xdr:nvSpPr>
      <xdr:spPr>
        <a:xfrm rot="3576702">
          <a:off x="5650219" y="4208068"/>
          <a:ext cx="637559" cy="17033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1?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8</xdr:col>
      <xdr:colOff>156015</xdr:colOff>
      <xdr:row>21</xdr:row>
      <xdr:rowOff>76199</xdr:rowOff>
    </xdr:from>
    <xdr:to>
      <xdr:col>9</xdr:col>
      <xdr:colOff>180974</xdr:colOff>
      <xdr:row>21</xdr:row>
      <xdr:rowOff>78204</xdr:rowOff>
    </xdr:to>
    <xdr:cxnSp macro="">
      <xdr:nvCxnSpPr>
        <xdr:cNvPr id="165" name="Straight Arrow Connector 164">
          <a:extLst>
            <a:ext uri="{FF2B5EF4-FFF2-40B4-BE49-F238E27FC236}">
              <a16:creationId xmlns="" xmlns:a16="http://schemas.microsoft.com/office/drawing/2014/main" id="{00000000-0008-0000-0A00-0000A5000000}"/>
            </a:ext>
          </a:extLst>
        </xdr:cNvPr>
        <xdr:cNvCxnSpPr/>
      </xdr:nvCxnSpPr>
      <xdr:spPr>
        <a:xfrm flipH="1">
          <a:off x="6013890" y="4124324"/>
          <a:ext cx="634559" cy="2005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119101</xdr:colOff>
      <xdr:row>21</xdr:row>
      <xdr:rowOff>81961</xdr:rowOff>
    </xdr:from>
    <xdr:to>
      <xdr:col>9</xdr:col>
      <xdr:colOff>287297</xdr:colOff>
      <xdr:row>22</xdr:row>
      <xdr:rowOff>46308</xdr:rowOff>
    </xdr:to>
    <xdr:sp macro="" textlink="">
      <xdr:nvSpPr>
        <xdr:cNvPr id="166" name="Rectangle 165">
          <a:extLst>
            <a:ext uri="{FF2B5EF4-FFF2-40B4-BE49-F238E27FC236}">
              <a16:creationId xmlns="" xmlns:a16="http://schemas.microsoft.com/office/drawing/2014/main" id="{00000000-0008-0000-0A00-0000A6000000}"/>
            </a:ext>
          </a:extLst>
        </xdr:cNvPr>
        <xdr:cNvSpPr/>
      </xdr:nvSpPr>
      <xdr:spPr>
        <a:xfrm>
          <a:off x="5976976" y="4130086"/>
          <a:ext cx="777796" cy="154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2?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9</xdr:col>
      <xdr:colOff>202306</xdr:colOff>
      <xdr:row>20</xdr:row>
      <xdr:rowOff>76199</xdr:rowOff>
    </xdr:from>
    <xdr:to>
      <xdr:col>10</xdr:col>
      <xdr:colOff>521591</xdr:colOff>
      <xdr:row>22</xdr:row>
      <xdr:rowOff>57150</xdr:rowOff>
    </xdr:to>
    <xdr:sp macro="" textlink="">
      <xdr:nvSpPr>
        <xdr:cNvPr id="167" name="Rectangle 166">
          <a:extLst>
            <a:ext uri="{FF2B5EF4-FFF2-40B4-BE49-F238E27FC236}">
              <a16:creationId xmlns="" xmlns:a16="http://schemas.microsoft.com/office/drawing/2014/main" id="{00000000-0008-0000-0A00-0000A7000000}"/>
            </a:ext>
          </a:extLst>
        </xdr:cNvPr>
        <xdr:cNvSpPr/>
      </xdr:nvSpPr>
      <xdr:spPr>
        <a:xfrm>
          <a:off x="6669781" y="3933824"/>
          <a:ext cx="928885" cy="3619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.........................</a:t>
          </a:r>
        </a:p>
      </xdr:txBody>
    </xdr:sp>
    <xdr:clientData/>
  </xdr:twoCellAnchor>
  <xdr:twoCellAnchor>
    <xdr:from>
      <xdr:col>9</xdr:col>
      <xdr:colOff>85725</xdr:colOff>
      <xdr:row>21</xdr:row>
      <xdr:rowOff>95251</xdr:rowOff>
    </xdr:from>
    <xdr:to>
      <xdr:col>9</xdr:col>
      <xdr:colOff>485774</xdr:colOff>
      <xdr:row>25</xdr:row>
      <xdr:rowOff>9524</xdr:rowOff>
    </xdr:to>
    <xdr:cxnSp macro="">
      <xdr:nvCxnSpPr>
        <xdr:cNvPr id="168" name="Straight Arrow Connector 167">
          <a:extLst>
            <a:ext uri="{FF2B5EF4-FFF2-40B4-BE49-F238E27FC236}">
              <a16:creationId xmlns="" xmlns:a16="http://schemas.microsoft.com/office/drawing/2014/main" id="{00000000-0008-0000-0A00-0000A8000000}"/>
            </a:ext>
          </a:extLst>
        </xdr:cNvPr>
        <xdr:cNvCxnSpPr/>
      </xdr:nvCxnSpPr>
      <xdr:spPr>
        <a:xfrm flipH="1" flipV="1">
          <a:off x="6553200" y="4143376"/>
          <a:ext cx="400049" cy="676273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85724</xdr:colOff>
      <xdr:row>24</xdr:row>
      <xdr:rowOff>190499</xdr:rowOff>
    </xdr:from>
    <xdr:to>
      <xdr:col>10</xdr:col>
      <xdr:colOff>439990</xdr:colOff>
      <xdr:row>26</xdr:row>
      <xdr:rowOff>6926</xdr:rowOff>
    </xdr:to>
    <xdr:sp macro="" textlink="">
      <xdr:nvSpPr>
        <xdr:cNvPr id="169" name="Rectangle 168">
          <a:extLst>
            <a:ext uri="{FF2B5EF4-FFF2-40B4-BE49-F238E27FC236}">
              <a16:creationId xmlns="" xmlns:a16="http://schemas.microsoft.com/office/drawing/2014/main" id="{00000000-0008-0000-0A00-0000A9000000}"/>
            </a:ext>
          </a:extLst>
        </xdr:cNvPr>
        <xdr:cNvSpPr/>
      </xdr:nvSpPr>
      <xdr:spPr>
        <a:xfrm>
          <a:off x="6553199" y="4810124"/>
          <a:ext cx="963866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rgbClr val="FF0000"/>
              </a:solidFill>
            </a:rPr>
            <a:t>...................</a:t>
          </a:r>
        </a:p>
      </xdr:txBody>
    </xdr:sp>
    <xdr:clientData/>
  </xdr:twoCellAnchor>
  <xdr:twoCellAnchor>
    <xdr:from>
      <xdr:col>2</xdr:col>
      <xdr:colOff>292601</xdr:colOff>
      <xdr:row>34</xdr:row>
      <xdr:rowOff>88900</xdr:rowOff>
    </xdr:from>
    <xdr:to>
      <xdr:col>3</xdr:col>
      <xdr:colOff>91574</xdr:colOff>
      <xdr:row>34</xdr:row>
      <xdr:rowOff>88900</xdr:rowOff>
    </xdr:to>
    <xdr:cxnSp macro="">
      <xdr:nvCxnSpPr>
        <xdr:cNvPr id="171" name="Straight Arrow Connector 170">
          <a:extLst>
            <a:ext uri="{FF2B5EF4-FFF2-40B4-BE49-F238E27FC236}">
              <a16:creationId xmlns="" xmlns:a16="http://schemas.microsoft.com/office/drawing/2014/main" id="{00000000-0008-0000-0A00-0000AB000000}"/>
            </a:ext>
          </a:extLst>
        </xdr:cNvPr>
        <xdr:cNvCxnSpPr/>
      </xdr:nvCxnSpPr>
      <xdr:spPr>
        <a:xfrm flipV="1">
          <a:off x="1311776" y="6613525"/>
          <a:ext cx="703848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130175</xdr:colOff>
      <xdr:row>34</xdr:row>
      <xdr:rowOff>155575</xdr:rowOff>
    </xdr:from>
    <xdr:to>
      <xdr:col>2</xdr:col>
      <xdr:colOff>835025</xdr:colOff>
      <xdr:row>36</xdr:row>
      <xdr:rowOff>48895</xdr:rowOff>
    </xdr:to>
    <xdr:sp macro="" textlink="">
      <xdr:nvSpPr>
        <xdr:cNvPr id="172" name="Rectangle 171">
          <a:extLst>
            <a:ext uri="{FF2B5EF4-FFF2-40B4-BE49-F238E27FC236}">
              <a16:creationId xmlns="" xmlns:a16="http://schemas.microsoft.com/office/drawing/2014/main" id="{00000000-0008-0000-0A00-0000AC000000}"/>
            </a:ext>
          </a:extLst>
        </xdr:cNvPr>
        <xdr:cNvSpPr/>
      </xdr:nvSpPr>
      <xdr:spPr>
        <a:xfrm>
          <a:off x="234950" y="6680200"/>
          <a:ext cx="161925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>
              <a:solidFill>
                <a:schemeClr val="bg1">
                  <a:lumMod val="65000"/>
                </a:schemeClr>
              </a:solidFill>
            </a:rPr>
            <a:t>Tulang pertama diisi</a:t>
          </a:r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  dari hasil temuan genba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1</xdr:col>
      <xdr:colOff>1</xdr:colOff>
      <xdr:row>32</xdr:row>
      <xdr:rowOff>107949</xdr:rowOff>
    </xdr:from>
    <xdr:to>
      <xdr:col>2</xdr:col>
      <xdr:colOff>635001</xdr:colOff>
      <xdr:row>33</xdr:row>
      <xdr:rowOff>180974</xdr:rowOff>
    </xdr:to>
    <xdr:sp macro="" textlink="">
      <xdr:nvSpPr>
        <xdr:cNvPr id="173" name="Rectangle 172">
          <a:extLst>
            <a:ext uri="{FF2B5EF4-FFF2-40B4-BE49-F238E27FC236}">
              <a16:creationId xmlns="" xmlns:a16="http://schemas.microsoft.com/office/drawing/2014/main" id="{00000000-0008-0000-0A00-0000AD000000}"/>
            </a:ext>
          </a:extLst>
        </xdr:cNvPr>
        <xdr:cNvSpPr/>
      </xdr:nvSpPr>
      <xdr:spPr>
        <a:xfrm>
          <a:off x="104776" y="6251574"/>
          <a:ext cx="1549400" cy="263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Kecepatan kerja aplikasi berbeda</a:t>
          </a:r>
        </a:p>
      </xdr:txBody>
    </xdr:sp>
    <xdr:clientData/>
  </xdr:twoCellAnchor>
  <xdr:twoCellAnchor>
    <xdr:from>
      <xdr:col>2</xdr:col>
      <xdr:colOff>647700</xdr:colOff>
      <xdr:row>31</xdr:row>
      <xdr:rowOff>19050</xdr:rowOff>
    </xdr:from>
    <xdr:to>
      <xdr:col>2</xdr:col>
      <xdr:colOff>752475</xdr:colOff>
      <xdr:row>34</xdr:row>
      <xdr:rowOff>38100</xdr:rowOff>
    </xdr:to>
    <xdr:cxnSp macro="">
      <xdr:nvCxnSpPr>
        <xdr:cNvPr id="174" name="Straight Arrow Connector 173">
          <a:extLst>
            <a:ext uri="{FF2B5EF4-FFF2-40B4-BE49-F238E27FC236}">
              <a16:creationId xmlns="" xmlns:a16="http://schemas.microsoft.com/office/drawing/2014/main" id="{00000000-0008-0000-0A00-0000AE000000}"/>
            </a:ext>
          </a:extLst>
        </xdr:cNvPr>
        <xdr:cNvCxnSpPr/>
      </xdr:nvCxnSpPr>
      <xdr:spPr>
        <a:xfrm>
          <a:off x="1666875" y="5972175"/>
          <a:ext cx="104775" cy="59055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711761</xdr:colOff>
      <xdr:row>30</xdr:row>
      <xdr:rowOff>154930</xdr:rowOff>
    </xdr:from>
    <xdr:to>
      <xdr:col>2</xdr:col>
      <xdr:colOff>882093</xdr:colOff>
      <xdr:row>34</xdr:row>
      <xdr:rowOff>30489</xdr:rowOff>
    </xdr:to>
    <xdr:sp macro="" textlink="">
      <xdr:nvSpPr>
        <xdr:cNvPr id="175" name="Rectangle 174">
          <a:extLst>
            <a:ext uri="{FF2B5EF4-FFF2-40B4-BE49-F238E27FC236}">
              <a16:creationId xmlns="" xmlns:a16="http://schemas.microsoft.com/office/drawing/2014/main" id="{00000000-0008-0000-0A00-0000AF000000}"/>
            </a:ext>
          </a:extLst>
        </xdr:cNvPr>
        <xdr:cNvSpPr/>
      </xdr:nvSpPr>
      <xdr:spPr>
        <a:xfrm rot="4884408">
          <a:off x="1497322" y="6151169"/>
          <a:ext cx="637559" cy="17033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1?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2</xdr:col>
      <xdr:colOff>30898</xdr:colOff>
      <xdr:row>32</xdr:row>
      <xdr:rowOff>136525</xdr:rowOff>
    </xdr:from>
    <xdr:to>
      <xdr:col>2</xdr:col>
      <xdr:colOff>684113</xdr:colOff>
      <xdr:row>32</xdr:row>
      <xdr:rowOff>138113</xdr:rowOff>
    </xdr:to>
    <xdr:cxnSp macro="">
      <xdr:nvCxnSpPr>
        <xdr:cNvPr id="176" name="Straight Arrow Connector 175">
          <a:extLst>
            <a:ext uri="{FF2B5EF4-FFF2-40B4-BE49-F238E27FC236}">
              <a16:creationId xmlns="" xmlns:a16="http://schemas.microsoft.com/office/drawing/2014/main" id="{00000000-0008-0000-0A00-0000B0000000}"/>
            </a:ext>
          </a:extLst>
        </xdr:cNvPr>
        <xdr:cNvCxnSpPr/>
      </xdr:nvCxnSpPr>
      <xdr:spPr>
        <a:xfrm>
          <a:off x="1050073" y="6280150"/>
          <a:ext cx="653215" cy="1588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795377</xdr:colOff>
      <xdr:row>32</xdr:row>
      <xdr:rowOff>139112</xdr:rowOff>
    </xdr:from>
    <xdr:to>
      <xdr:col>2</xdr:col>
      <xdr:colOff>658773</xdr:colOff>
      <xdr:row>33</xdr:row>
      <xdr:rowOff>103459</xdr:rowOff>
    </xdr:to>
    <xdr:sp macro="" textlink="">
      <xdr:nvSpPr>
        <xdr:cNvPr id="177" name="Rectangle 176">
          <a:extLst>
            <a:ext uri="{FF2B5EF4-FFF2-40B4-BE49-F238E27FC236}">
              <a16:creationId xmlns="" xmlns:a16="http://schemas.microsoft.com/office/drawing/2014/main" id="{00000000-0008-0000-0A00-0000B1000000}"/>
            </a:ext>
          </a:extLst>
        </xdr:cNvPr>
        <xdr:cNvSpPr/>
      </xdr:nvSpPr>
      <xdr:spPr>
        <a:xfrm>
          <a:off x="900152" y="6282737"/>
          <a:ext cx="777796" cy="154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2?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1</xdr:col>
      <xdr:colOff>4933</xdr:colOff>
      <xdr:row>31</xdr:row>
      <xdr:rowOff>51147</xdr:rowOff>
    </xdr:from>
    <xdr:to>
      <xdr:col>1</xdr:col>
      <xdr:colOff>801517</xdr:colOff>
      <xdr:row>32</xdr:row>
      <xdr:rowOff>58074</xdr:rowOff>
    </xdr:to>
    <xdr:sp macro="" textlink="">
      <xdr:nvSpPr>
        <xdr:cNvPr id="178" name="Rectangle 177">
          <a:extLst>
            <a:ext uri="{FF2B5EF4-FFF2-40B4-BE49-F238E27FC236}">
              <a16:creationId xmlns="" xmlns:a16="http://schemas.microsoft.com/office/drawing/2014/main" id="{00000000-0008-0000-0A00-0000B2000000}"/>
            </a:ext>
          </a:extLst>
        </xdr:cNvPr>
        <xdr:cNvSpPr/>
      </xdr:nvSpPr>
      <xdr:spPr>
        <a:xfrm>
          <a:off x="109708" y="6004272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Tidak</a:t>
          </a:r>
          <a:r>
            <a:rPr lang="en-US" sz="900" baseline="0">
              <a:solidFill>
                <a:schemeClr val="bg1"/>
              </a:solidFill>
            </a:rPr>
            <a:t> ada training</a:t>
          </a:r>
          <a:endParaRPr lang="en-US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95250</xdr:colOff>
      <xdr:row>30</xdr:row>
      <xdr:rowOff>66675</xdr:rowOff>
    </xdr:from>
    <xdr:to>
      <xdr:col>2</xdr:col>
      <xdr:colOff>337820</xdr:colOff>
      <xdr:row>32</xdr:row>
      <xdr:rowOff>119640</xdr:rowOff>
    </xdr:to>
    <xdr:cxnSp macro="">
      <xdr:nvCxnSpPr>
        <xdr:cNvPr id="179" name="Straight Arrow Connector 178">
          <a:extLst>
            <a:ext uri="{FF2B5EF4-FFF2-40B4-BE49-F238E27FC236}">
              <a16:creationId xmlns="" xmlns:a16="http://schemas.microsoft.com/office/drawing/2014/main" id="{00000000-0008-0000-0A00-0000B3000000}"/>
            </a:ext>
          </a:extLst>
        </xdr:cNvPr>
        <xdr:cNvCxnSpPr/>
      </xdr:nvCxnSpPr>
      <xdr:spPr>
        <a:xfrm>
          <a:off x="1114425" y="5829300"/>
          <a:ext cx="242570" cy="433965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366883</xdr:colOff>
      <xdr:row>29</xdr:row>
      <xdr:rowOff>32097</xdr:rowOff>
    </xdr:from>
    <xdr:to>
      <xdr:col>2</xdr:col>
      <xdr:colOff>249067</xdr:colOff>
      <xdr:row>30</xdr:row>
      <xdr:rowOff>39024</xdr:rowOff>
    </xdr:to>
    <xdr:sp macro="" textlink="">
      <xdr:nvSpPr>
        <xdr:cNvPr id="180" name="Rectangle 179">
          <a:extLst>
            <a:ext uri="{FF2B5EF4-FFF2-40B4-BE49-F238E27FC236}">
              <a16:creationId xmlns="" xmlns:a16="http://schemas.microsoft.com/office/drawing/2014/main" id="{00000000-0008-0000-0A00-0000B4000000}"/>
            </a:ext>
          </a:extLst>
        </xdr:cNvPr>
        <xdr:cNvSpPr/>
      </xdr:nvSpPr>
      <xdr:spPr>
        <a:xfrm>
          <a:off x="471658" y="5604222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</a:t>
          </a:r>
        </a:p>
      </xdr:txBody>
    </xdr:sp>
    <xdr:clientData/>
  </xdr:twoCellAnchor>
  <xdr:twoCellAnchor>
    <xdr:from>
      <xdr:col>1</xdr:col>
      <xdr:colOff>892736</xdr:colOff>
      <xdr:row>29</xdr:row>
      <xdr:rowOff>135881</xdr:rowOff>
    </xdr:from>
    <xdr:to>
      <xdr:col>2</xdr:col>
      <xdr:colOff>142318</xdr:colOff>
      <xdr:row>33</xdr:row>
      <xdr:rowOff>11440</xdr:rowOff>
    </xdr:to>
    <xdr:sp macro="" textlink="">
      <xdr:nvSpPr>
        <xdr:cNvPr id="181" name="Rectangle 180">
          <a:extLst>
            <a:ext uri="{FF2B5EF4-FFF2-40B4-BE49-F238E27FC236}">
              <a16:creationId xmlns="" xmlns:a16="http://schemas.microsoft.com/office/drawing/2014/main" id="{00000000-0008-0000-0A00-0000B5000000}"/>
            </a:ext>
          </a:extLst>
        </xdr:cNvPr>
        <xdr:cNvSpPr/>
      </xdr:nvSpPr>
      <xdr:spPr>
        <a:xfrm rot="3641359">
          <a:off x="760722" y="5944795"/>
          <a:ext cx="637559" cy="1639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3?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2</xdr:col>
      <xdr:colOff>357358</xdr:colOff>
      <xdr:row>30</xdr:row>
      <xdr:rowOff>51147</xdr:rowOff>
    </xdr:from>
    <xdr:to>
      <xdr:col>3</xdr:col>
      <xdr:colOff>249067</xdr:colOff>
      <xdr:row>31</xdr:row>
      <xdr:rowOff>58074</xdr:rowOff>
    </xdr:to>
    <xdr:sp macro="" textlink="">
      <xdr:nvSpPr>
        <xdr:cNvPr id="182" name="Rectangle 181">
          <a:extLst>
            <a:ext uri="{FF2B5EF4-FFF2-40B4-BE49-F238E27FC236}">
              <a16:creationId xmlns="" xmlns:a16="http://schemas.microsoft.com/office/drawing/2014/main" id="{00000000-0008-0000-0A00-0000B6000000}"/>
            </a:ext>
          </a:extLst>
        </xdr:cNvPr>
        <xdr:cNvSpPr/>
      </xdr:nvSpPr>
      <xdr:spPr>
        <a:xfrm>
          <a:off x="1376533" y="5813772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</a:t>
          </a:r>
        </a:p>
      </xdr:txBody>
    </xdr:sp>
    <xdr:clientData/>
  </xdr:twoCellAnchor>
  <xdr:twoCellAnchor>
    <xdr:from>
      <xdr:col>1</xdr:col>
      <xdr:colOff>281158</xdr:colOff>
      <xdr:row>33</xdr:row>
      <xdr:rowOff>155923</xdr:rowOff>
    </xdr:from>
    <xdr:to>
      <xdr:col>2</xdr:col>
      <xdr:colOff>304800</xdr:colOff>
      <xdr:row>34</xdr:row>
      <xdr:rowOff>152401</xdr:rowOff>
    </xdr:to>
    <xdr:sp macro="" textlink="">
      <xdr:nvSpPr>
        <xdr:cNvPr id="183" name="Rectangle 182">
          <a:extLst>
            <a:ext uri="{FF2B5EF4-FFF2-40B4-BE49-F238E27FC236}">
              <a16:creationId xmlns="" xmlns:a16="http://schemas.microsoft.com/office/drawing/2014/main" id="{00000000-0008-0000-0A00-0000B7000000}"/>
            </a:ext>
          </a:extLst>
        </xdr:cNvPr>
        <xdr:cNvSpPr/>
      </xdr:nvSpPr>
      <xdr:spPr>
        <a:xfrm>
          <a:off x="385933" y="6490048"/>
          <a:ext cx="938042" cy="1869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</a:t>
          </a:r>
        </a:p>
      </xdr:txBody>
    </xdr:sp>
    <xdr:clientData/>
  </xdr:twoCellAnchor>
  <xdr:twoCellAnchor>
    <xdr:from>
      <xdr:col>3</xdr:col>
      <xdr:colOff>478544</xdr:colOff>
      <xdr:row>29</xdr:row>
      <xdr:rowOff>133350</xdr:rowOff>
    </xdr:from>
    <xdr:to>
      <xdr:col>4</xdr:col>
      <xdr:colOff>102481</xdr:colOff>
      <xdr:row>29</xdr:row>
      <xdr:rowOff>133350</xdr:rowOff>
    </xdr:to>
    <xdr:cxnSp macro="">
      <xdr:nvCxnSpPr>
        <xdr:cNvPr id="196" name="Straight Arrow Connector 195">
          <a:extLst>
            <a:ext uri="{FF2B5EF4-FFF2-40B4-BE49-F238E27FC236}">
              <a16:creationId xmlns="" xmlns:a16="http://schemas.microsoft.com/office/drawing/2014/main" id="{00000000-0008-0000-0A00-0000C4000000}"/>
            </a:ext>
          </a:extLst>
        </xdr:cNvPr>
        <xdr:cNvCxnSpPr/>
      </xdr:nvCxnSpPr>
      <xdr:spPr>
        <a:xfrm rot="10800000" flipV="1">
          <a:off x="2402594" y="5705475"/>
          <a:ext cx="528812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600075</xdr:colOff>
      <xdr:row>30</xdr:row>
      <xdr:rowOff>0</xdr:rowOff>
    </xdr:from>
    <xdr:to>
      <xdr:col>3</xdr:col>
      <xdr:colOff>676275</xdr:colOff>
      <xdr:row>33</xdr:row>
      <xdr:rowOff>95250</xdr:rowOff>
    </xdr:to>
    <xdr:cxnSp macro="">
      <xdr:nvCxnSpPr>
        <xdr:cNvPr id="198" name="Straight Arrow Connector 197">
          <a:extLst>
            <a:ext uri="{FF2B5EF4-FFF2-40B4-BE49-F238E27FC236}">
              <a16:creationId xmlns="" xmlns:a16="http://schemas.microsoft.com/office/drawing/2014/main" id="{00000000-0008-0000-0A00-0000C6000000}"/>
            </a:ext>
          </a:extLst>
        </xdr:cNvPr>
        <xdr:cNvCxnSpPr/>
      </xdr:nvCxnSpPr>
      <xdr:spPr>
        <a:xfrm flipV="1">
          <a:off x="2524125" y="5762625"/>
          <a:ext cx="76200" cy="66675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249734</xdr:colOff>
      <xdr:row>33</xdr:row>
      <xdr:rowOff>47625</xdr:rowOff>
    </xdr:from>
    <xdr:to>
      <xdr:col>4</xdr:col>
      <xdr:colOff>308725</xdr:colOff>
      <xdr:row>34</xdr:row>
      <xdr:rowOff>54552</xdr:rowOff>
    </xdr:to>
    <xdr:sp macro="" textlink="">
      <xdr:nvSpPr>
        <xdr:cNvPr id="199" name="Rectangle 198">
          <a:extLst>
            <a:ext uri="{FF2B5EF4-FFF2-40B4-BE49-F238E27FC236}">
              <a16:creationId xmlns="" xmlns:a16="http://schemas.microsoft.com/office/drawing/2014/main" id="{00000000-0008-0000-0A00-0000C7000000}"/>
            </a:ext>
          </a:extLst>
        </xdr:cNvPr>
        <xdr:cNvSpPr/>
      </xdr:nvSpPr>
      <xdr:spPr>
        <a:xfrm>
          <a:off x="2173784" y="6381750"/>
          <a:ext cx="963866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</a:t>
          </a:r>
        </a:p>
      </xdr:txBody>
    </xdr:sp>
    <xdr:clientData/>
  </xdr:twoCellAnchor>
  <xdr:twoCellAnchor>
    <xdr:from>
      <xdr:col>3</xdr:col>
      <xdr:colOff>464109</xdr:colOff>
      <xdr:row>29</xdr:row>
      <xdr:rowOff>183507</xdr:rowOff>
    </xdr:from>
    <xdr:to>
      <xdr:col>3</xdr:col>
      <xdr:colOff>634441</xdr:colOff>
      <xdr:row>33</xdr:row>
      <xdr:rowOff>59066</xdr:rowOff>
    </xdr:to>
    <xdr:sp macro="" textlink="">
      <xdr:nvSpPr>
        <xdr:cNvPr id="200" name="Rectangle 199">
          <a:extLst>
            <a:ext uri="{FF2B5EF4-FFF2-40B4-BE49-F238E27FC236}">
              <a16:creationId xmlns="" xmlns:a16="http://schemas.microsoft.com/office/drawing/2014/main" id="{00000000-0008-0000-0A00-0000C8000000}"/>
            </a:ext>
          </a:extLst>
        </xdr:cNvPr>
        <xdr:cNvSpPr/>
      </xdr:nvSpPr>
      <xdr:spPr>
        <a:xfrm rot="16486676">
          <a:off x="2154545" y="5989246"/>
          <a:ext cx="637559" cy="17033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1?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3</xdr:col>
      <xdr:colOff>680288</xdr:colOff>
      <xdr:row>31</xdr:row>
      <xdr:rowOff>104775</xdr:rowOff>
    </xdr:from>
    <xdr:to>
      <xdr:col>4</xdr:col>
      <xdr:colOff>323455</xdr:colOff>
      <xdr:row>31</xdr:row>
      <xdr:rowOff>116308</xdr:rowOff>
    </xdr:to>
    <xdr:cxnSp macro="">
      <xdr:nvCxnSpPr>
        <xdr:cNvPr id="201" name="Straight Arrow Connector 200">
          <a:extLst>
            <a:ext uri="{FF2B5EF4-FFF2-40B4-BE49-F238E27FC236}">
              <a16:creationId xmlns="" xmlns:a16="http://schemas.microsoft.com/office/drawing/2014/main" id="{00000000-0008-0000-0A00-0000C9000000}"/>
            </a:ext>
          </a:extLst>
        </xdr:cNvPr>
        <xdr:cNvCxnSpPr/>
      </xdr:nvCxnSpPr>
      <xdr:spPr>
        <a:xfrm flipH="1">
          <a:off x="2604338" y="6057900"/>
          <a:ext cx="548042" cy="11533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633452</xdr:colOff>
      <xdr:row>30</xdr:row>
      <xdr:rowOff>148638</xdr:rowOff>
    </xdr:from>
    <xdr:to>
      <xdr:col>4</xdr:col>
      <xdr:colOff>419100</xdr:colOff>
      <xdr:row>31</xdr:row>
      <xdr:rowOff>104776</xdr:rowOff>
    </xdr:to>
    <xdr:sp macro="" textlink="">
      <xdr:nvSpPr>
        <xdr:cNvPr id="202" name="Rectangle 201">
          <a:extLst>
            <a:ext uri="{FF2B5EF4-FFF2-40B4-BE49-F238E27FC236}">
              <a16:creationId xmlns="" xmlns:a16="http://schemas.microsoft.com/office/drawing/2014/main" id="{00000000-0008-0000-0A00-0000CA000000}"/>
            </a:ext>
          </a:extLst>
        </xdr:cNvPr>
        <xdr:cNvSpPr/>
      </xdr:nvSpPr>
      <xdr:spPr>
        <a:xfrm>
          <a:off x="2557502" y="5911263"/>
          <a:ext cx="690523" cy="1466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2?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4</xdr:col>
      <xdr:colOff>304800</xdr:colOff>
      <xdr:row>30</xdr:row>
      <xdr:rowOff>161925</xdr:rowOff>
    </xdr:from>
    <xdr:to>
      <xdr:col>5</xdr:col>
      <xdr:colOff>194425</xdr:colOff>
      <xdr:row>31</xdr:row>
      <xdr:rowOff>152400</xdr:rowOff>
    </xdr:to>
    <xdr:sp macro="" textlink="">
      <xdr:nvSpPr>
        <xdr:cNvPr id="203" name="Rectangle 202">
          <a:extLst>
            <a:ext uri="{FF2B5EF4-FFF2-40B4-BE49-F238E27FC236}">
              <a16:creationId xmlns="" xmlns:a16="http://schemas.microsoft.com/office/drawing/2014/main" id="{00000000-0008-0000-0A00-0000CB000000}"/>
            </a:ext>
          </a:extLst>
        </xdr:cNvPr>
        <xdr:cNvSpPr/>
      </xdr:nvSpPr>
      <xdr:spPr>
        <a:xfrm>
          <a:off x="3133725" y="5924550"/>
          <a:ext cx="794500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.....................</a:t>
          </a:r>
        </a:p>
      </xdr:txBody>
    </xdr:sp>
    <xdr:clientData/>
  </xdr:twoCellAnchor>
  <xdr:twoCellAnchor>
    <xdr:from>
      <xdr:col>4</xdr:col>
      <xdr:colOff>238126</xdr:colOff>
      <xdr:row>31</xdr:row>
      <xdr:rowOff>133352</xdr:rowOff>
    </xdr:from>
    <xdr:to>
      <xdr:col>4</xdr:col>
      <xdr:colOff>638175</xdr:colOff>
      <xdr:row>35</xdr:row>
      <xdr:rowOff>47625</xdr:rowOff>
    </xdr:to>
    <xdr:cxnSp macro="">
      <xdr:nvCxnSpPr>
        <xdr:cNvPr id="204" name="Straight Arrow Connector 203">
          <a:extLst>
            <a:ext uri="{FF2B5EF4-FFF2-40B4-BE49-F238E27FC236}">
              <a16:creationId xmlns="" xmlns:a16="http://schemas.microsoft.com/office/drawing/2014/main" id="{00000000-0008-0000-0A00-0000CC000000}"/>
            </a:ext>
          </a:extLst>
        </xdr:cNvPr>
        <xdr:cNvCxnSpPr/>
      </xdr:nvCxnSpPr>
      <xdr:spPr>
        <a:xfrm flipH="1" flipV="1">
          <a:off x="3067051" y="6086477"/>
          <a:ext cx="400049" cy="676273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571500</xdr:colOff>
      <xdr:row>28</xdr:row>
      <xdr:rowOff>1</xdr:rowOff>
    </xdr:from>
    <xdr:to>
      <xdr:col>5</xdr:col>
      <xdr:colOff>180975</xdr:colOff>
      <xdr:row>29</xdr:row>
      <xdr:rowOff>76201</xdr:rowOff>
    </xdr:to>
    <xdr:pic>
      <xdr:nvPicPr>
        <xdr:cNvPr id="205" name="Picture 204">
          <a:extLst>
            <a:ext uri="{FF2B5EF4-FFF2-40B4-BE49-F238E27FC236}">
              <a16:creationId xmlns=""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3805" b="23252"/>
        <a:stretch/>
      </xdr:blipFill>
      <xdr:spPr>
        <a:xfrm>
          <a:off x="2495550" y="5381626"/>
          <a:ext cx="1419225" cy="266700"/>
        </a:xfrm>
        <a:prstGeom prst="rect">
          <a:avLst/>
        </a:prstGeom>
      </xdr:spPr>
    </xdr:pic>
    <xdr:clientData/>
  </xdr:twoCellAnchor>
  <xdr:twoCellAnchor>
    <xdr:from>
      <xdr:col>4</xdr:col>
      <xdr:colOff>419100</xdr:colOff>
      <xdr:row>21</xdr:row>
      <xdr:rowOff>104776</xdr:rowOff>
    </xdr:from>
    <xdr:to>
      <xdr:col>4</xdr:col>
      <xdr:colOff>583082</xdr:colOff>
      <xdr:row>24</xdr:row>
      <xdr:rowOff>170835</xdr:rowOff>
    </xdr:to>
    <xdr:sp macro="" textlink="">
      <xdr:nvSpPr>
        <xdr:cNvPr id="208" name="Rectangle 207">
          <a:extLst>
            <a:ext uri="{FF2B5EF4-FFF2-40B4-BE49-F238E27FC236}">
              <a16:creationId xmlns="" xmlns:a16="http://schemas.microsoft.com/office/drawing/2014/main" id="{00000000-0008-0000-0A00-0000D0000000}"/>
            </a:ext>
          </a:extLst>
        </xdr:cNvPr>
        <xdr:cNvSpPr/>
      </xdr:nvSpPr>
      <xdr:spPr>
        <a:xfrm rot="3702858">
          <a:off x="3011236" y="4389690"/>
          <a:ext cx="637559" cy="1639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3?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4</xdr:col>
      <xdr:colOff>495300</xdr:colOff>
      <xdr:row>31</xdr:row>
      <xdr:rowOff>161926</xdr:rowOff>
    </xdr:from>
    <xdr:to>
      <xdr:col>4</xdr:col>
      <xdr:colOff>659282</xdr:colOff>
      <xdr:row>35</xdr:row>
      <xdr:rowOff>37485</xdr:rowOff>
    </xdr:to>
    <xdr:sp macro="" textlink="">
      <xdr:nvSpPr>
        <xdr:cNvPr id="209" name="Rectangle 208">
          <a:extLst>
            <a:ext uri="{FF2B5EF4-FFF2-40B4-BE49-F238E27FC236}">
              <a16:creationId xmlns="" xmlns:a16="http://schemas.microsoft.com/office/drawing/2014/main" id="{00000000-0008-0000-0A00-0000D1000000}"/>
            </a:ext>
          </a:extLst>
        </xdr:cNvPr>
        <xdr:cNvSpPr/>
      </xdr:nvSpPr>
      <xdr:spPr>
        <a:xfrm rot="3702858">
          <a:off x="3087436" y="6351840"/>
          <a:ext cx="637559" cy="1639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3?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4</xdr:col>
      <xdr:colOff>114300</xdr:colOff>
      <xdr:row>35</xdr:row>
      <xdr:rowOff>47625</xdr:rowOff>
    </xdr:from>
    <xdr:to>
      <xdr:col>5</xdr:col>
      <xdr:colOff>173291</xdr:colOff>
      <xdr:row>36</xdr:row>
      <xdr:rowOff>54552</xdr:rowOff>
    </xdr:to>
    <xdr:sp macro="" textlink="">
      <xdr:nvSpPr>
        <xdr:cNvPr id="210" name="Rectangle 209">
          <a:extLst>
            <a:ext uri="{FF2B5EF4-FFF2-40B4-BE49-F238E27FC236}">
              <a16:creationId xmlns="" xmlns:a16="http://schemas.microsoft.com/office/drawing/2014/main" id="{00000000-0008-0000-0A00-0000D2000000}"/>
            </a:ext>
          </a:extLst>
        </xdr:cNvPr>
        <xdr:cNvSpPr/>
      </xdr:nvSpPr>
      <xdr:spPr>
        <a:xfrm>
          <a:off x="2943225" y="6762750"/>
          <a:ext cx="963866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</a:t>
          </a:r>
        </a:p>
      </xdr:txBody>
    </xdr:sp>
    <xdr:clientData/>
  </xdr:twoCellAnchor>
  <xdr:twoCellAnchor>
    <xdr:from>
      <xdr:col>7</xdr:col>
      <xdr:colOff>401956</xdr:colOff>
      <xdr:row>27</xdr:row>
      <xdr:rowOff>28575</xdr:rowOff>
    </xdr:from>
    <xdr:to>
      <xdr:col>8</xdr:col>
      <xdr:colOff>393700</xdr:colOff>
      <xdr:row>35</xdr:row>
      <xdr:rowOff>174625</xdr:rowOff>
    </xdr:to>
    <xdr:cxnSp macro="">
      <xdr:nvCxnSpPr>
        <xdr:cNvPr id="263" name="Straight Arrow Connector 262">
          <a:extLst>
            <a:ext uri="{FF2B5EF4-FFF2-40B4-BE49-F238E27FC236}">
              <a16:creationId xmlns="" xmlns:a16="http://schemas.microsoft.com/office/drawing/2014/main" id="{00000000-0008-0000-0A00-000007010000}"/>
            </a:ext>
          </a:extLst>
        </xdr:cNvPr>
        <xdr:cNvCxnSpPr>
          <a:stCxn id="264" idx="0"/>
        </xdr:cNvCxnSpPr>
      </xdr:nvCxnSpPr>
      <xdr:spPr>
        <a:xfrm flipV="1">
          <a:off x="5650231" y="5219700"/>
          <a:ext cx="601344" cy="1670050"/>
        </a:xfrm>
        <a:prstGeom prst="straightConnector1">
          <a:avLst/>
        </a:prstGeom>
        <a:ln w="57150">
          <a:solidFill>
            <a:schemeClr val="accent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574372</xdr:colOff>
      <xdr:row>35</xdr:row>
      <xdr:rowOff>174625</xdr:rowOff>
    </xdr:from>
    <xdr:to>
      <xdr:col>8</xdr:col>
      <xdr:colOff>229539</xdr:colOff>
      <xdr:row>37</xdr:row>
      <xdr:rowOff>67945</xdr:rowOff>
    </xdr:to>
    <xdr:sp macro="" textlink="">
      <xdr:nvSpPr>
        <xdr:cNvPr id="264" name="Rectangle 263">
          <a:extLst>
            <a:ext uri="{FF2B5EF4-FFF2-40B4-BE49-F238E27FC236}">
              <a16:creationId xmlns="" xmlns:a16="http://schemas.microsoft.com/office/drawing/2014/main" id="{00000000-0008-0000-0A00-000008010000}"/>
            </a:ext>
          </a:extLst>
        </xdr:cNvPr>
        <xdr:cNvSpPr/>
      </xdr:nvSpPr>
      <xdr:spPr>
        <a:xfrm>
          <a:off x="5213047" y="6889750"/>
          <a:ext cx="874367" cy="2743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Material</a:t>
          </a:r>
        </a:p>
      </xdr:txBody>
    </xdr:sp>
    <xdr:clientData/>
  </xdr:twoCellAnchor>
  <xdr:twoCellAnchor>
    <xdr:from>
      <xdr:col>6</xdr:col>
      <xdr:colOff>362451</xdr:colOff>
      <xdr:row>34</xdr:row>
      <xdr:rowOff>88900</xdr:rowOff>
    </xdr:from>
    <xdr:to>
      <xdr:col>7</xdr:col>
      <xdr:colOff>456699</xdr:colOff>
      <xdr:row>34</xdr:row>
      <xdr:rowOff>88900</xdr:rowOff>
    </xdr:to>
    <xdr:cxnSp macro="">
      <xdr:nvCxnSpPr>
        <xdr:cNvPr id="265" name="Straight Arrow Connector 264">
          <a:extLst>
            <a:ext uri="{FF2B5EF4-FFF2-40B4-BE49-F238E27FC236}">
              <a16:creationId xmlns="" xmlns:a16="http://schemas.microsoft.com/office/drawing/2014/main" id="{00000000-0008-0000-0A00-000009010000}"/>
            </a:ext>
          </a:extLst>
        </xdr:cNvPr>
        <xdr:cNvCxnSpPr/>
      </xdr:nvCxnSpPr>
      <xdr:spPr>
        <a:xfrm flipV="1">
          <a:off x="5001126" y="6613525"/>
          <a:ext cx="703848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190500</xdr:colOff>
      <xdr:row>34</xdr:row>
      <xdr:rowOff>155575</xdr:rowOff>
    </xdr:from>
    <xdr:to>
      <xdr:col>7</xdr:col>
      <xdr:colOff>295275</xdr:colOff>
      <xdr:row>36</xdr:row>
      <xdr:rowOff>48895</xdr:rowOff>
    </xdr:to>
    <xdr:sp macro="" textlink="">
      <xdr:nvSpPr>
        <xdr:cNvPr id="266" name="Rectangle 265">
          <a:extLst>
            <a:ext uri="{FF2B5EF4-FFF2-40B4-BE49-F238E27FC236}">
              <a16:creationId xmlns="" xmlns:a16="http://schemas.microsoft.com/office/drawing/2014/main" id="{00000000-0008-0000-0A00-00000A010000}"/>
            </a:ext>
          </a:extLst>
        </xdr:cNvPr>
        <xdr:cNvSpPr/>
      </xdr:nvSpPr>
      <xdr:spPr>
        <a:xfrm>
          <a:off x="3924300" y="6680200"/>
          <a:ext cx="161925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>
              <a:solidFill>
                <a:schemeClr val="bg1">
                  <a:lumMod val="65000"/>
                </a:schemeClr>
              </a:solidFill>
            </a:rPr>
            <a:t>Tulang pertama diisi</a:t>
          </a:r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  dari hasil temuan genba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7</xdr:col>
      <xdr:colOff>107950</xdr:colOff>
      <xdr:row>31</xdr:row>
      <xdr:rowOff>19050</xdr:rowOff>
    </xdr:from>
    <xdr:to>
      <xdr:col>7</xdr:col>
      <xdr:colOff>212725</xdr:colOff>
      <xdr:row>34</xdr:row>
      <xdr:rowOff>38100</xdr:rowOff>
    </xdr:to>
    <xdr:cxnSp macro="">
      <xdr:nvCxnSpPr>
        <xdr:cNvPr id="267" name="Straight Arrow Connector 266">
          <a:extLst>
            <a:ext uri="{FF2B5EF4-FFF2-40B4-BE49-F238E27FC236}">
              <a16:creationId xmlns="" xmlns:a16="http://schemas.microsoft.com/office/drawing/2014/main" id="{00000000-0008-0000-0A00-00000B010000}"/>
            </a:ext>
          </a:extLst>
        </xdr:cNvPr>
        <xdr:cNvCxnSpPr/>
      </xdr:nvCxnSpPr>
      <xdr:spPr>
        <a:xfrm>
          <a:off x="5356225" y="5972175"/>
          <a:ext cx="104775" cy="59055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172011</xdr:colOff>
      <xdr:row>30</xdr:row>
      <xdr:rowOff>154930</xdr:rowOff>
    </xdr:from>
    <xdr:to>
      <xdr:col>7</xdr:col>
      <xdr:colOff>342343</xdr:colOff>
      <xdr:row>34</xdr:row>
      <xdr:rowOff>30489</xdr:rowOff>
    </xdr:to>
    <xdr:sp macro="" textlink="">
      <xdr:nvSpPr>
        <xdr:cNvPr id="268" name="Rectangle 267">
          <a:extLst>
            <a:ext uri="{FF2B5EF4-FFF2-40B4-BE49-F238E27FC236}">
              <a16:creationId xmlns="" xmlns:a16="http://schemas.microsoft.com/office/drawing/2014/main" id="{00000000-0008-0000-0A00-00000C010000}"/>
            </a:ext>
          </a:extLst>
        </xdr:cNvPr>
        <xdr:cNvSpPr/>
      </xdr:nvSpPr>
      <xdr:spPr>
        <a:xfrm rot="4884408">
          <a:off x="5186672" y="6151169"/>
          <a:ext cx="637559" cy="17033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1?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6</xdr:col>
      <xdr:colOff>100748</xdr:colOff>
      <xdr:row>32</xdr:row>
      <xdr:rowOff>136525</xdr:rowOff>
    </xdr:from>
    <xdr:to>
      <xdr:col>7</xdr:col>
      <xdr:colOff>144363</xdr:colOff>
      <xdr:row>32</xdr:row>
      <xdr:rowOff>138113</xdr:rowOff>
    </xdr:to>
    <xdr:cxnSp macro="">
      <xdr:nvCxnSpPr>
        <xdr:cNvPr id="270" name="Straight Arrow Connector 269">
          <a:extLst>
            <a:ext uri="{FF2B5EF4-FFF2-40B4-BE49-F238E27FC236}">
              <a16:creationId xmlns="" xmlns:a16="http://schemas.microsoft.com/office/drawing/2014/main" id="{00000000-0008-0000-0A00-00000E010000}"/>
            </a:ext>
          </a:extLst>
        </xdr:cNvPr>
        <xdr:cNvCxnSpPr/>
      </xdr:nvCxnSpPr>
      <xdr:spPr>
        <a:xfrm>
          <a:off x="4739423" y="6280150"/>
          <a:ext cx="653215" cy="1588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855702</xdr:colOff>
      <xdr:row>32</xdr:row>
      <xdr:rowOff>139112</xdr:rowOff>
    </xdr:from>
    <xdr:to>
      <xdr:col>7</xdr:col>
      <xdr:colOff>119023</xdr:colOff>
      <xdr:row>33</xdr:row>
      <xdr:rowOff>103459</xdr:rowOff>
    </xdr:to>
    <xdr:sp macro="" textlink="">
      <xdr:nvSpPr>
        <xdr:cNvPr id="271" name="Rectangle 270">
          <a:extLst>
            <a:ext uri="{FF2B5EF4-FFF2-40B4-BE49-F238E27FC236}">
              <a16:creationId xmlns="" xmlns:a16="http://schemas.microsoft.com/office/drawing/2014/main" id="{00000000-0008-0000-0A00-00000F010000}"/>
            </a:ext>
          </a:extLst>
        </xdr:cNvPr>
        <xdr:cNvSpPr/>
      </xdr:nvSpPr>
      <xdr:spPr>
        <a:xfrm>
          <a:off x="4589502" y="6282737"/>
          <a:ext cx="777796" cy="154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2?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6</xdr:col>
      <xdr:colOff>165100</xdr:colOff>
      <xdr:row>30</xdr:row>
      <xdr:rowOff>66675</xdr:rowOff>
    </xdr:from>
    <xdr:to>
      <xdr:col>6</xdr:col>
      <xdr:colOff>407670</xdr:colOff>
      <xdr:row>32</xdr:row>
      <xdr:rowOff>119640</xdr:rowOff>
    </xdr:to>
    <xdr:cxnSp macro="">
      <xdr:nvCxnSpPr>
        <xdr:cNvPr id="272" name="Straight Arrow Connector 271">
          <a:extLst>
            <a:ext uri="{FF2B5EF4-FFF2-40B4-BE49-F238E27FC236}">
              <a16:creationId xmlns="" xmlns:a16="http://schemas.microsoft.com/office/drawing/2014/main" id="{00000000-0008-0000-0A00-000010010000}"/>
            </a:ext>
          </a:extLst>
        </xdr:cNvPr>
        <xdr:cNvCxnSpPr/>
      </xdr:nvCxnSpPr>
      <xdr:spPr>
        <a:xfrm>
          <a:off x="4803775" y="5829300"/>
          <a:ext cx="242570" cy="433965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427208</xdr:colOff>
      <xdr:row>29</xdr:row>
      <xdr:rowOff>32097</xdr:rowOff>
    </xdr:from>
    <xdr:to>
      <xdr:col>6</xdr:col>
      <xdr:colOff>318917</xdr:colOff>
      <xdr:row>30</xdr:row>
      <xdr:rowOff>39024</xdr:rowOff>
    </xdr:to>
    <xdr:sp macro="" textlink="">
      <xdr:nvSpPr>
        <xdr:cNvPr id="273" name="Rectangle 272">
          <a:extLst>
            <a:ext uri="{FF2B5EF4-FFF2-40B4-BE49-F238E27FC236}">
              <a16:creationId xmlns="" xmlns:a16="http://schemas.microsoft.com/office/drawing/2014/main" id="{00000000-0008-0000-0A00-000011010000}"/>
            </a:ext>
          </a:extLst>
        </xdr:cNvPr>
        <xdr:cNvSpPr/>
      </xdr:nvSpPr>
      <xdr:spPr>
        <a:xfrm>
          <a:off x="4161008" y="5604222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</a:t>
          </a:r>
        </a:p>
      </xdr:txBody>
    </xdr:sp>
    <xdr:clientData/>
  </xdr:twoCellAnchor>
  <xdr:twoCellAnchor>
    <xdr:from>
      <xdr:col>6</xdr:col>
      <xdr:colOff>48186</xdr:colOff>
      <xdr:row>29</xdr:row>
      <xdr:rowOff>135881</xdr:rowOff>
    </xdr:from>
    <xdr:to>
      <xdr:col>6</xdr:col>
      <xdr:colOff>212168</xdr:colOff>
      <xdr:row>33</xdr:row>
      <xdr:rowOff>11440</xdr:rowOff>
    </xdr:to>
    <xdr:sp macro="" textlink="">
      <xdr:nvSpPr>
        <xdr:cNvPr id="274" name="Rectangle 273">
          <a:extLst>
            <a:ext uri="{FF2B5EF4-FFF2-40B4-BE49-F238E27FC236}">
              <a16:creationId xmlns="" xmlns:a16="http://schemas.microsoft.com/office/drawing/2014/main" id="{00000000-0008-0000-0A00-000012010000}"/>
            </a:ext>
          </a:extLst>
        </xdr:cNvPr>
        <xdr:cNvSpPr/>
      </xdr:nvSpPr>
      <xdr:spPr>
        <a:xfrm rot="3641359">
          <a:off x="4450072" y="5944795"/>
          <a:ext cx="637559" cy="1639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3?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5</xdr:col>
      <xdr:colOff>198608</xdr:colOff>
      <xdr:row>32</xdr:row>
      <xdr:rowOff>13047</xdr:rowOff>
    </xdr:from>
    <xdr:to>
      <xdr:col>6</xdr:col>
      <xdr:colOff>90317</xdr:colOff>
      <xdr:row>33</xdr:row>
      <xdr:rowOff>19974</xdr:rowOff>
    </xdr:to>
    <xdr:sp macro="" textlink="">
      <xdr:nvSpPr>
        <xdr:cNvPr id="277" name="Rectangle 276">
          <a:extLst>
            <a:ext uri="{FF2B5EF4-FFF2-40B4-BE49-F238E27FC236}">
              <a16:creationId xmlns="" xmlns:a16="http://schemas.microsoft.com/office/drawing/2014/main" id="{00000000-0008-0000-0A00-000015010000}"/>
            </a:ext>
          </a:extLst>
        </xdr:cNvPr>
        <xdr:cNvSpPr/>
      </xdr:nvSpPr>
      <xdr:spPr>
        <a:xfrm>
          <a:off x="3932408" y="6156672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rgbClr val="FF0000"/>
              </a:solidFill>
            </a:rPr>
            <a:t>.....................</a:t>
          </a:r>
        </a:p>
      </xdr:txBody>
    </xdr:sp>
    <xdr:clientData/>
  </xdr:twoCellAnchor>
  <xdr:twoCellAnchor>
    <xdr:from>
      <xdr:col>8</xdr:col>
      <xdr:colOff>234069</xdr:colOff>
      <xdr:row>29</xdr:row>
      <xdr:rowOff>133350</xdr:rowOff>
    </xdr:from>
    <xdr:to>
      <xdr:col>9</xdr:col>
      <xdr:colOff>153281</xdr:colOff>
      <xdr:row>29</xdr:row>
      <xdr:rowOff>133350</xdr:rowOff>
    </xdr:to>
    <xdr:cxnSp macro="">
      <xdr:nvCxnSpPr>
        <xdr:cNvPr id="278" name="Straight Arrow Connector 277">
          <a:extLst>
            <a:ext uri="{FF2B5EF4-FFF2-40B4-BE49-F238E27FC236}">
              <a16:creationId xmlns="" xmlns:a16="http://schemas.microsoft.com/office/drawing/2014/main" id="{00000000-0008-0000-0A00-000016010000}"/>
            </a:ext>
          </a:extLst>
        </xdr:cNvPr>
        <xdr:cNvCxnSpPr/>
      </xdr:nvCxnSpPr>
      <xdr:spPr>
        <a:xfrm rot="10800000" flipV="1">
          <a:off x="6091944" y="5705475"/>
          <a:ext cx="528812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136525</xdr:colOff>
      <xdr:row>29</xdr:row>
      <xdr:rowOff>9525</xdr:rowOff>
    </xdr:from>
    <xdr:to>
      <xdr:col>11</xdr:col>
      <xdr:colOff>47625</xdr:colOff>
      <xdr:row>30</xdr:row>
      <xdr:rowOff>66675</xdr:rowOff>
    </xdr:to>
    <xdr:sp macro="" textlink="">
      <xdr:nvSpPr>
        <xdr:cNvPr id="279" name="Rectangle 278">
          <a:extLst>
            <a:ext uri="{FF2B5EF4-FFF2-40B4-BE49-F238E27FC236}">
              <a16:creationId xmlns="" xmlns:a16="http://schemas.microsoft.com/office/drawing/2014/main" id="{00000000-0008-0000-0A00-000017010000}"/>
            </a:ext>
          </a:extLst>
        </xdr:cNvPr>
        <xdr:cNvSpPr/>
      </xdr:nvSpPr>
      <xdr:spPr>
        <a:xfrm>
          <a:off x="6604000" y="5581650"/>
          <a:ext cx="1130300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........................</a:t>
          </a:r>
        </a:p>
      </xdr:txBody>
    </xdr:sp>
    <xdr:clientData/>
  </xdr:twoCellAnchor>
  <xdr:twoCellAnchor>
    <xdr:from>
      <xdr:col>8</xdr:col>
      <xdr:colOff>355600</xdr:colOff>
      <xdr:row>30</xdr:row>
      <xdr:rowOff>0</xdr:rowOff>
    </xdr:from>
    <xdr:to>
      <xdr:col>8</xdr:col>
      <xdr:colOff>431800</xdr:colOff>
      <xdr:row>33</xdr:row>
      <xdr:rowOff>95250</xdr:rowOff>
    </xdr:to>
    <xdr:cxnSp macro="">
      <xdr:nvCxnSpPr>
        <xdr:cNvPr id="280" name="Straight Arrow Connector 279">
          <a:extLst>
            <a:ext uri="{FF2B5EF4-FFF2-40B4-BE49-F238E27FC236}">
              <a16:creationId xmlns="" xmlns:a16="http://schemas.microsoft.com/office/drawing/2014/main" id="{00000000-0008-0000-0A00-000018010000}"/>
            </a:ext>
          </a:extLst>
        </xdr:cNvPr>
        <xdr:cNvCxnSpPr/>
      </xdr:nvCxnSpPr>
      <xdr:spPr>
        <a:xfrm flipV="1">
          <a:off x="6213475" y="5762625"/>
          <a:ext cx="76200" cy="66675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5259</xdr:colOff>
      <xdr:row>33</xdr:row>
      <xdr:rowOff>47625</xdr:rowOff>
    </xdr:from>
    <xdr:to>
      <xdr:col>9</xdr:col>
      <xdr:colOff>359525</xdr:colOff>
      <xdr:row>35</xdr:row>
      <xdr:rowOff>123825</xdr:rowOff>
    </xdr:to>
    <xdr:sp macro="" textlink="">
      <xdr:nvSpPr>
        <xdr:cNvPr id="281" name="Rectangle 280">
          <a:extLst>
            <a:ext uri="{FF2B5EF4-FFF2-40B4-BE49-F238E27FC236}">
              <a16:creationId xmlns="" xmlns:a16="http://schemas.microsoft.com/office/drawing/2014/main" id="{00000000-0008-0000-0A00-000019010000}"/>
            </a:ext>
          </a:extLst>
        </xdr:cNvPr>
        <xdr:cNvSpPr/>
      </xdr:nvSpPr>
      <xdr:spPr>
        <a:xfrm>
          <a:off x="5863134" y="6381750"/>
          <a:ext cx="963866" cy="457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.......................</a:t>
          </a:r>
        </a:p>
      </xdr:txBody>
    </xdr:sp>
    <xdr:clientData/>
  </xdr:twoCellAnchor>
  <xdr:twoCellAnchor>
    <xdr:from>
      <xdr:col>8</xdr:col>
      <xdr:colOff>219634</xdr:colOff>
      <xdr:row>29</xdr:row>
      <xdr:rowOff>183507</xdr:rowOff>
    </xdr:from>
    <xdr:to>
      <xdr:col>8</xdr:col>
      <xdr:colOff>389966</xdr:colOff>
      <xdr:row>33</xdr:row>
      <xdr:rowOff>59066</xdr:rowOff>
    </xdr:to>
    <xdr:sp macro="" textlink="">
      <xdr:nvSpPr>
        <xdr:cNvPr id="282" name="Rectangle 281">
          <a:extLst>
            <a:ext uri="{FF2B5EF4-FFF2-40B4-BE49-F238E27FC236}">
              <a16:creationId xmlns="" xmlns:a16="http://schemas.microsoft.com/office/drawing/2014/main" id="{00000000-0008-0000-0A00-00001A010000}"/>
            </a:ext>
          </a:extLst>
        </xdr:cNvPr>
        <xdr:cNvSpPr/>
      </xdr:nvSpPr>
      <xdr:spPr>
        <a:xfrm rot="16486676">
          <a:off x="5843895" y="5989246"/>
          <a:ext cx="637559" cy="17033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1?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8</xdr:col>
      <xdr:colOff>435813</xdr:colOff>
      <xdr:row>31</xdr:row>
      <xdr:rowOff>104775</xdr:rowOff>
    </xdr:from>
    <xdr:to>
      <xdr:col>9</xdr:col>
      <xdr:colOff>374255</xdr:colOff>
      <xdr:row>31</xdr:row>
      <xdr:rowOff>116308</xdr:rowOff>
    </xdr:to>
    <xdr:cxnSp macro="">
      <xdr:nvCxnSpPr>
        <xdr:cNvPr id="283" name="Straight Arrow Connector 282">
          <a:extLst>
            <a:ext uri="{FF2B5EF4-FFF2-40B4-BE49-F238E27FC236}">
              <a16:creationId xmlns="" xmlns:a16="http://schemas.microsoft.com/office/drawing/2014/main" id="{00000000-0008-0000-0A00-00001B010000}"/>
            </a:ext>
          </a:extLst>
        </xdr:cNvPr>
        <xdr:cNvCxnSpPr/>
      </xdr:nvCxnSpPr>
      <xdr:spPr>
        <a:xfrm flipH="1">
          <a:off x="6293688" y="6057900"/>
          <a:ext cx="548042" cy="11533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388977</xdr:colOff>
      <xdr:row>30</xdr:row>
      <xdr:rowOff>148638</xdr:rowOff>
    </xdr:from>
    <xdr:to>
      <xdr:col>9</xdr:col>
      <xdr:colOff>469900</xdr:colOff>
      <xdr:row>31</xdr:row>
      <xdr:rowOff>104776</xdr:rowOff>
    </xdr:to>
    <xdr:sp macro="" textlink="">
      <xdr:nvSpPr>
        <xdr:cNvPr id="284" name="Rectangle 283">
          <a:extLst>
            <a:ext uri="{FF2B5EF4-FFF2-40B4-BE49-F238E27FC236}">
              <a16:creationId xmlns="" xmlns:a16="http://schemas.microsoft.com/office/drawing/2014/main" id="{00000000-0008-0000-0A00-00001C010000}"/>
            </a:ext>
          </a:extLst>
        </xdr:cNvPr>
        <xdr:cNvSpPr/>
      </xdr:nvSpPr>
      <xdr:spPr>
        <a:xfrm>
          <a:off x="6246852" y="5911263"/>
          <a:ext cx="690523" cy="1466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2?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9</xdr:col>
      <xdr:colOff>355600</xdr:colOff>
      <xdr:row>30</xdr:row>
      <xdr:rowOff>161925</xdr:rowOff>
    </xdr:from>
    <xdr:to>
      <xdr:col>10</xdr:col>
      <xdr:colOff>540500</xdr:colOff>
      <xdr:row>31</xdr:row>
      <xdr:rowOff>152400</xdr:rowOff>
    </xdr:to>
    <xdr:sp macro="" textlink="">
      <xdr:nvSpPr>
        <xdr:cNvPr id="285" name="Rectangle 284">
          <a:extLst>
            <a:ext uri="{FF2B5EF4-FFF2-40B4-BE49-F238E27FC236}">
              <a16:creationId xmlns="" xmlns:a16="http://schemas.microsoft.com/office/drawing/2014/main" id="{00000000-0008-0000-0A00-00001D010000}"/>
            </a:ext>
          </a:extLst>
        </xdr:cNvPr>
        <xdr:cNvSpPr/>
      </xdr:nvSpPr>
      <xdr:spPr>
        <a:xfrm>
          <a:off x="6823075" y="5924550"/>
          <a:ext cx="794500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.....................</a:t>
          </a:r>
        </a:p>
      </xdr:txBody>
    </xdr:sp>
    <xdr:clientData/>
  </xdr:twoCellAnchor>
  <xdr:twoCellAnchor>
    <xdr:from>
      <xdr:col>9</xdr:col>
      <xdr:colOff>288926</xdr:colOff>
      <xdr:row>31</xdr:row>
      <xdr:rowOff>133352</xdr:rowOff>
    </xdr:from>
    <xdr:to>
      <xdr:col>10</xdr:col>
      <xdr:colOff>79375</xdr:colOff>
      <xdr:row>35</xdr:row>
      <xdr:rowOff>47625</xdr:rowOff>
    </xdr:to>
    <xdr:cxnSp macro="">
      <xdr:nvCxnSpPr>
        <xdr:cNvPr id="286" name="Straight Arrow Connector 285">
          <a:extLst>
            <a:ext uri="{FF2B5EF4-FFF2-40B4-BE49-F238E27FC236}">
              <a16:creationId xmlns="" xmlns:a16="http://schemas.microsoft.com/office/drawing/2014/main" id="{00000000-0008-0000-0A00-00001E010000}"/>
            </a:ext>
          </a:extLst>
        </xdr:cNvPr>
        <xdr:cNvCxnSpPr/>
      </xdr:nvCxnSpPr>
      <xdr:spPr>
        <a:xfrm flipH="1" flipV="1">
          <a:off x="6756401" y="6086477"/>
          <a:ext cx="400049" cy="676273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327025</xdr:colOff>
      <xdr:row>28</xdr:row>
      <xdr:rowOff>1</xdr:rowOff>
    </xdr:from>
    <xdr:to>
      <xdr:col>10</xdr:col>
      <xdr:colOff>527050</xdr:colOff>
      <xdr:row>29</xdr:row>
      <xdr:rowOff>76201</xdr:rowOff>
    </xdr:to>
    <xdr:pic>
      <xdr:nvPicPr>
        <xdr:cNvPr id="287" name="Picture 286">
          <a:extLst>
            <a:ext uri="{FF2B5EF4-FFF2-40B4-BE49-F238E27FC236}">
              <a16:creationId xmlns=""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3805" b="23252"/>
        <a:stretch/>
      </xdr:blipFill>
      <xdr:spPr>
        <a:xfrm>
          <a:off x="6184900" y="5381626"/>
          <a:ext cx="1419225" cy="266700"/>
        </a:xfrm>
        <a:prstGeom prst="rect">
          <a:avLst/>
        </a:prstGeom>
      </xdr:spPr>
    </xdr:pic>
    <xdr:clientData/>
  </xdr:twoCellAnchor>
  <xdr:twoCellAnchor>
    <xdr:from>
      <xdr:col>9</xdr:col>
      <xdr:colOff>546100</xdr:colOff>
      <xdr:row>31</xdr:row>
      <xdr:rowOff>161926</xdr:rowOff>
    </xdr:from>
    <xdr:to>
      <xdr:col>10</xdr:col>
      <xdr:colOff>100482</xdr:colOff>
      <xdr:row>35</xdr:row>
      <xdr:rowOff>37485</xdr:rowOff>
    </xdr:to>
    <xdr:sp macro="" textlink="">
      <xdr:nvSpPr>
        <xdr:cNvPr id="288" name="Rectangle 287">
          <a:extLst>
            <a:ext uri="{FF2B5EF4-FFF2-40B4-BE49-F238E27FC236}">
              <a16:creationId xmlns="" xmlns:a16="http://schemas.microsoft.com/office/drawing/2014/main" id="{00000000-0008-0000-0A00-000020010000}"/>
            </a:ext>
          </a:extLst>
        </xdr:cNvPr>
        <xdr:cNvSpPr/>
      </xdr:nvSpPr>
      <xdr:spPr>
        <a:xfrm rot="3702858">
          <a:off x="6776786" y="6351840"/>
          <a:ext cx="637559" cy="1639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 baseline="0">
              <a:solidFill>
                <a:schemeClr val="bg1">
                  <a:lumMod val="65000"/>
                </a:schemeClr>
              </a:solidFill>
            </a:rPr>
            <a:t>Kenapa 3?</a:t>
          </a:r>
          <a:endParaRPr lang="en-US" sz="8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9</xdr:col>
      <xdr:colOff>165100</xdr:colOff>
      <xdr:row>35</xdr:row>
      <xdr:rowOff>47625</xdr:rowOff>
    </xdr:from>
    <xdr:to>
      <xdr:col>10</xdr:col>
      <xdr:colOff>519366</xdr:colOff>
      <xdr:row>36</xdr:row>
      <xdr:rowOff>54552</xdr:rowOff>
    </xdr:to>
    <xdr:sp macro="" textlink="">
      <xdr:nvSpPr>
        <xdr:cNvPr id="289" name="Rectangle 288">
          <a:extLst>
            <a:ext uri="{FF2B5EF4-FFF2-40B4-BE49-F238E27FC236}">
              <a16:creationId xmlns="" xmlns:a16="http://schemas.microsoft.com/office/drawing/2014/main" id="{00000000-0008-0000-0A00-000021010000}"/>
            </a:ext>
          </a:extLst>
        </xdr:cNvPr>
        <xdr:cNvSpPr/>
      </xdr:nvSpPr>
      <xdr:spPr>
        <a:xfrm>
          <a:off x="6632575" y="6762750"/>
          <a:ext cx="963866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</a:t>
          </a:r>
        </a:p>
      </xdr:txBody>
    </xdr:sp>
    <xdr:clientData/>
  </xdr:twoCellAnchor>
  <xdr:twoCellAnchor editAs="oneCell">
    <xdr:from>
      <xdr:col>1</xdr:col>
      <xdr:colOff>819150</xdr:colOff>
      <xdr:row>24</xdr:row>
      <xdr:rowOff>95250</xdr:rowOff>
    </xdr:from>
    <xdr:to>
      <xdr:col>3</xdr:col>
      <xdr:colOff>621552</xdr:colOff>
      <xdr:row>26</xdr:row>
      <xdr:rowOff>61752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3925" y="4714875"/>
          <a:ext cx="1621677" cy="347502"/>
        </a:xfrm>
        <a:prstGeom prst="rect">
          <a:avLst/>
        </a:prstGeom>
      </xdr:spPr>
    </xdr:pic>
    <xdr:clientData/>
  </xdr:twoCellAnchor>
  <xdr:twoCellAnchor>
    <xdr:from>
      <xdr:col>8</xdr:col>
      <xdr:colOff>161923</xdr:colOff>
      <xdr:row>18</xdr:row>
      <xdr:rowOff>161924</xdr:rowOff>
    </xdr:from>
    <xdr:to>
      <xdr:col>10</xdr:col>
      <xdr:colOff>66674</xdr:colOff>
      <xdr:row>20</xdr:row>
      <xdr:rowOff>142875</xdr:rowOff>
    </xdr:to>
    <xdr:sp macro="" textlink="">
      <xdr:nvSpPr>
        <xdr:cNvPr id="123" name="Rectangle 122">
          <a:extLst>
            <a:ext uri="{FF2B5EF4-FFF2-40B4-BE49-F238E27FC236}">
              <a16:creationId xmlns="" xmlns:a16="http://schemas.microsoft.com/office/drawing/2014/main" id="{00000000-0008-0000-0A00-00007B000000}"/>
            </a:ext>
          </a:extLst>
        </xdr:cNvPr>
        <xdr:cNvSpPr/>
      </xdr:nvSpPr>
      <xdr:spPr>
        <a:xfrm>
          <a:off x="6019798" y="3638549"/>
          <a:ext cx="1123951" cy="3619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.............................</a:t>
          </a:r>
        </a:p>
      </xdr:txBody>
    </xdr:sp>
    <xdr:clientData/>
  </xdr:twoCellAnchor>
  <xdr:twoCellAnchor>
    <xdr:from>
      <xdr:col>5</xdr:col>
      <xdr:colOff>323850</xdr:colOff>
      <xdr:row>22</xdr:row>
      <xdr:rowOff>142875</xdr:rowOff>
    </xdr:from>
    <xdr:to>
      <xdr:col>6</xdr:col>
      <xdr:colOff>542926</xdr:colOff>
      <xdr:row>24</xdr:row>
      <xdr:rowOff>123826</xdr:rowOff>
    </xdr:to>
    <xdr:sp macro="" textlink="">
      <xdr:nvSpPr>
        <xdr:cNvPr id="124" name="Rectangle 123">
          <a:extLst>
            <a:ext uri="{FF2B5EF4-FFF2-40B4-BE49-F238E27FC236}">
              <a16:creationId xmlns="" xmlns:a16="http://schemas.microsoft.com/office/drawing/2014/main" id="{00000000-0008-0000-0A00-00007C000000}"/>
            </a:ext>
          </a:extLst>
        </xdr:cNvPr>
        <xdr:cNvSpPr/>
      </xdr:nvSpPr>
      <xdr:spPr>
        <a:xfrm>
          <a:off x="4057650" y="4381500"/>
          <a:ext cx="1123951" cy="3619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..........................</a:t>
          </a:r>
        </a:p>
      </xdr:txBody>
    </xdr:sp>
    <xdr:clientData/>
  </xdr:twoCellAnchor>
  <xdr:twoCellAnchor>
    <xdr:from>
      <xdr:col>1</xdr:col>
      <xdr:colOff>138283</xdr:colOff>
      <xdr:row>31</xdr:row>
      <xdr:rowOff>184497</xdr:rowOff>
    </xdr:from>
    <xdr:to>
      <xdr:col>2</xdr:col>
      <xdr:colOff>20467</xdr:colOff>
      <xdr:row>33</xdr:row>
      <xdr:rowOff>924</xdr:rowOff>
    </xdr:to>
    <xdr:sp macro="" textlink="">
      <xdr:nvSpPr>
        <xdr:cNvPr id="125" name="Rectangle 124">
          <a:extLst>
            <a:ext uri="{FF2B5EF4-FFF2-40B4-BE49-F238E27FC236}">
              <a16:creationId xmlns="" xmlns:a16="http://schemas.microsoft.com/office/drawing/2014/main" id="{00000000-0008-0000-0A00-00007D000000}"/>
            </a:ext>
          </a:extLst>
        </xdr:cNvPr>
        <xdr:cNvSpPr/>
      </xdr:nvSpPr>
      <xdr:spPr>
        <a:xfrm>
          <a:off x="243058" y="6137622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</a:t>
          </a:r>
        </a:p>
      </xdr:txBody>
    </xdr:sp>
    <xdr:clientData/>
  </xdr:twoCellAnchor>
  <xdr:twoCellAnchor>
    <xdr:from>
      <xdr:col>4</xdr:col>
      <xdr:colOff>104775</xdr:colOff>
      <xdr:row>29</xdr:row>
      <xdr:rowOff>57150</xdr:rowOff>
    </xdr:from>
    <xdr:to>
      <xdr:col>4</xdr:col>
      <xdr:colOff>901359</xdr:colOff>
      <xdr:row>30</xdr:row>
      <xdr:rowOff>64077</xdr:rowOff>
    </xdr:to>
    <xdr:sp macro="" textlink="">
      <xdr:nvSpPr>
        <xdr:cNvPr id="126" name="Rectangle 125">
          <a:extLst>
            <a:ext uri="{FF2B5EF4-FFF2-40B4-BE49-F238E27FC236}">
              <a16:creationId xmlns="" xmlns:a16="http://schemas.microsoft.com/office/drawing/2014/main" id="{00000000-0008-0000-0A00-00007E000000}"/>
            </a:ext>
          </a:extLst>
        </xdr:cNvPr>
        <xdr:cNvSpPr/>
      </xdr:nvSpPr>
      <xdr:spPr>
        <a:xfrm>
          <a:off x="2933700" y="5629275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</a:t>
          </a:r>
        </a:p>
      </xdr:txBody>
    </xdr:sp>
    <xdr:clientData/>
  </xdr:twoCellAnchor>
  <xdr:twoCellAnchor>
    <xdr:from>
      <xdr:col>5</xdr:col>
      <xdr:colOff>457200</xdr:colOff>
      <xdr:row>33</xdr:row>
      <xdr:rowOff>152400</xdr:rowOff>
    </xdr:from>
    <xdr:to>
      <xdr:col>6</xdr:col>
      <xdr:colOff>348909</xdr:colOff>
      <xdr:row>34</xdr:row>
      <xdr:rowOff>159327</xdr:rowOff>
    </xdr:to>
    <xdr:sp macro="" textlink="">
      <xdr:nvSpPr>
        <xdr:cNvPr id="127" name="Rectangle 126">
          <a:extLst>
            <a:ext uri="{FF2B5EF4-FFF2-40B4-BE49-F238E27FC236}">
              <a16:creationId xmlns="" xmlns:a16="http://schemas.microsoft.com/office/drawing/2014/main" id="{00000000-0008-0000-0A00-00007F000000}"/>
            </a:ext>
          </a:extLst>
        </xdr:cNvPr>
        <xdr:cNvSpPr/>
      </xdr:nvSpPr>
      <xdr:spPr>
        <a:xfrm>
          <a:off x="4191000" y="6486525"/>
          <a:ext cx="796584" cy="197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.....................</a:t>
          </a:r>
        </a:p>
      </xdr:txBody>
    </xdr:sp>
    <xdr:clientData/>
  </xdr:twoCellAnchor>
  <xdr:twoCellAnchor>
    <xdr:from>
      <xdr:col>6</xdr:col>
      <xdr:colOff>238125</xdr:colOff>
      <xdr:row>29</xdr:row>
      <xdr:rowOff>161925</xdr:rowOff>
    </xdr:from>
    <xdr:to>
      <xdr:col>7</xdr:col>
      <xdr:colOff>539409</xdr:colOff>
      <xdr:row>30</xdr:row>
      <xdr:rowOff>152400</xdr:rowOff>
    </xdr:to>
    <xdr:sp macro="" textlink="">
      <xdr:nvSpPr>
        <xdr:cNvPr id="128" name="Rectangle 127">
          <a:extLst>
            <a:ext uri="{FF2B5EF4-FFF2-40B4-BE49-F238E27FC236}">
              <a16:creationId xmlns="" xmlns:a16="http://schemas.microsoft.com/office/drawing/2014/main" id="{00000000-0008-0000-0A00-000080000000}"/>
            </a:ext>
          </a:extLst>
        </xdr:cNvPr>
        <xdr:cNvSpPr/>
      </xdr:nvSpPr>
      <xdr:spPr>
        <a:xfrm>
          <a:off x="4876800" y="5734050"/>
          <a:ext cx="910884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tx1"/>
              </a:solidFill>
            </a:rPr>
            <a:t>.................</a:t>
          </a:r>
        </a:p>
      </xdr:txBody>
    </xdr:sp>
    <xdr:clientData/>
  </xdr:twoCellAnchor>
  <xdr:twoCellAnchor>
    <xdr:from>
      <xdr:col>11</xdr:col>
      <xdr:colOff>504825</xdr:colOff>
      <xdr:row>23</xdr:row>
      <xdr:rowOff>114300</xdr:rowOff>
    </xdr:from>
    <xdr:to>
      <xdr:col>13</xdr:col>
      <xdr:colOff>333375</xdr:colOff>
      <xdr:row>24</xdr:row>
      <xdr:rowOff>123826</xdr:rowOff>
    </xdr:to>
    <xdr:sp macro="" textlink="">
      <xdr:nvSpPr>
        <xdr:cNvPr id="129" name="Rectangle 128">
          <a:extLst>
            <a:ext uri="{FF2B5EF4-FFF2-40B4-BE49-F238E27FC236}">
              <a16:creationId xmlns="" xmlns:a16="http://schemas.microsoft.com/office/drawing/2014/main" id="{00000000-0008-0000-0A00-000081000000}"/>
            </a:ext>
          </a:extLst>
        </xdr:cNvPr>
        <xdr:cNvSpPr/>
      </xdr:nvSpPr>
      <xdr:spPr>
        <a:xfrm>
          <a:off x="8191500" y="4543425"/>
          <a:ext cx="1285875" cy="2000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 b="1" u="sng">
              <a:solidFill>
                <a:sysClr val="windowText" lastClr="000000"/>
              </a:solidFill>
            </a:rPr>
            <a:t>Masalah atau akibat</a:t>
          </a:r>
        </a:p>
      </xdr:txBody>
    </xdr:sp>
    <xdr:clientData/>
  </xdr:twoCellAnchor>
  <xdr:twoCellAnchor>
    <xdr:from>
      <xdr:col>14</xdr:col>
      <xdr:colOff>219075</xdr:colOff>
      <xdr:row>16</xdr:row>
      <xdr:rowOff>28575</xdr:rowOff>
    </xdr:from>
    <xdr:to>
      <xdr:col>15</xdr:col>
      <xdr:colOff>198293</xdr:colOff>
      <xdr:row>18</xdr:row>
      <xdr:rowOff>85724</xdr:rowOff>
    </xdr:to>
    <xdr:sp macro="" textlink="">
      <xdr:nvSpPr>
        <xdr:cNvPr id="130" name="Right Arrow 129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A00-000082000000}"/>
            </a:ext>
          </a:extLst>
        </xdr:cNvPr>
        <xdr:cNvSpPr/>
      </xdr:nvSpPr>
      <xdr:spPr>
        <a:xfrm flipH="1">
          <a:off x="9972675" y="3124200"/>
          <a:ext cx="588818" cy="438149"/>
        </a:xfrm>
        <a:prstGeom prst="rightArrow">
          <a:avLst>
            <a:gd name="adj1" fmla="val 50000"/>
            <a:gd name="adj2" fmla="val 53296"/>
          </a:avLst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</a:t>
          </a:r>
        </a:p>
      </xdr:txBody>
    </xdr:sp>
    <xdr:clientData/>
  </xdr:twoCellAnchor>
  <xdr:twoCellAnchor>
    <xdr:from>
      <xdr:col>11</xdr:col>
      <xdr:colOff>367665</xdr:colOff>
      <xdr:row>25</xdr:row>
      <xdr:rowOff>1905</xdr:rowOff>
    </xdr:from>
    <xdr:to>
      <xdr:col>13</xdr:col>
      <xdr:colOff>443865</xdr:colOff>
      <xdr:row>27</xdr:row>
      <xdr:rowOff>137160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8300085" y="4749165"/>
          <a:ext cx="1584960" cy="50101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ABC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3</xdr:row>
      <xdr:rowOff>19050</xdr:rowOff>
    </xdr:from>
    <xdr:to>
      <xdr:col>2</xdr:col>
      <xdr:colOff>190500</xdr:colOff>
      <xdr:row>4</xdr:row>
      <xdr:rowOff>146050</xdr:rowOff>
    </xdr:to>
    <xdr:sp macro="" textlink="">
      <xdr:nvSpPr>
        <xdr:cNvPr id="2" name="Right Brace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1701800" y="571500"/>
          <a:ext cx="95250" cy="311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254000</xdr:colOff>
      <xdr:row>3</xdr:row>
      <xdr:rowOff>57150</xdr:rowOff>
    </xdr:from>
    <xdr:to>
      <xdr:col>6</xdr:col>
      <xdr:colOff>95250</xdr:colOff>
      <xdr:row>9</xdr:row>
      <xdr:rowOff>146050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860550" y="609600"/>
          <a:ext cx="2279650" cy="11938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Ini</a:t>
          </a:r>
          <a:r>
            <a:rPr lang="en-US" sz="1100" baseline="0"/>
            <a:t> berarti di akar masalah faktor Material menjadi prioritas pertama perbaikan dan cantumkan NO 1 dan Akar masalah Metoda menjadi prioritas kedua perbaikan dan cantumkan No 2.</a:t>
          </a:r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130247</xdr:colOff>
      <xdr:row>39</xdr:row>
      <xdr:rowOff>75216</xdr:rowOff>
    </xdr:from>
    <xdr:to>
      <xdr:col>17</xdr:col>
      <xdr:colOff>78530</xdr:colOff>
      <xdr:row>48</xdr:row>
      <xdr:rowOff>105550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10737287" y="7207536"/>
          <a:ext cx="2386683" cy="1676254"/>
        </a:xfrm>
        <a:prstGeom prst="rect">
          <a:avLst/>
        </a:prstGeom>
        <a:solidFill>
          <a:srgbClr val="0098BF"/>
        </a:solidFill>
        <a:ln w="1270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wrap="square" anchor="ctr"/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371509">
            <a:defRPr/>
          </a:pPr>
          <a:r>
            <a:rPr lang="en-ID" sz="1800" b="1" kern="0">
              <a:solidFill>
                <a:srgbClr val="FFFFFF"/>
              </a:solidFill>
              <a:latin typeface="Arial"/>
            </a:rPr>
            <a:t>ANALISA DAMPAK ALTERNATIF TERPILIH</a:t>
          </a:r>
          <a:endParaRPr lang="en-US" sz="1800" b="1" kern="0">
            <a:solidFill>
              <a:srgbClr val="FFFFFF"/>
            </a:solidFill>
            <a:latin typeface="Arial"/>
          </a:endParaRPr>
        </a:p>
      </xdr:txBody>
    </xdr:sp>
    <xdr:clientData/>
  </xdr:twoCellAnchor>
  <xdr:twoCellAnchor>
    <xdr:from>
      <xdr:col>17</xdr:col>
      <xdr:colOff>78531</xdr:colOff>
      <xdr:row>39</xdr:row>
      <xdr:rowOff>69311</xdr:rowOff>
    </xdr:from>
    <xdr:to>
      <xdr:col>23</xdr:col>
      <xdr:colOff>539395</xdr:colOff>
      <xdr:row>48</xdr:row>
      <xdr:rowOff>99645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13123971" y="7201631"/>
          <a:ext cx="4118464" cy="1676254"/>
        </a:xfrm>
        <a:prstGeom prst="rect">
          <a:avLst/>
        </a:prstGeom>
        <a:noFill/>
        <a:ln w="1270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wrap="square"/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342877" indent="-342877" defTabSz="1371509">
            <a:buFontTx/>
            <a:buAutoNum type="arabicPeriod"/>
            <a:defRPr/>
          </a:pPr>
          <a:r>
            <a:rPr lang="en-US" sz="1650" kern="0">
              <a:solidFill>
                <a:prstClr val="black"/>
              </a:solidFill>
              <a:latin typeface="Arial"/>
            </a:rPr>
            <a:t>Melakukan preventive maintenance secara berkala terhadap </a:t>
          </a:r>
          <a:r>
            <a:rPr lang="id-ID" sz="1650" kern="0">
              <a:solidFill>
                <a:prstClr val="black"/>
              </a:solidFill>
              <a:latin typeface="Arial"/>
            </a:rPr>
            <a:t>sensor yang terpasang.</a:t>
          </a:r>
          <a:endParaRPr lang="en-US" sz="1650" kern="0">
            <a:solidFill>
              <a:prstClr val="black"/>
            </a:solidFill>
            <a:latin typeface="Arial"/>
          </a:endParaRPr>
        </a:p>
        <a:p>
          <a:pPr marL="342877" indent="-342877" defTabSz="1371509">
            <a:buFontTx/>
            <a:buAutoNum type="arabicPeriod"/>
            <a:defRPr/>
          </a:pPr>
          <a:r>
            <a:rPr lang="en-US" sz="1650" kern="0">
              <a:solidFill>
                <a:prstClr val="black"/>
              </a:solidFill>
              <a:latin typeface="Arial"/>
            </a:rPr>
            <a:t>Melakukan monitoring dan preventive maint</a:t>
          </a:r>
          <a:r>
            <a:rPr lang="id-ID" sz="1650" kern="0">
              <a:solidFill>
                <a:prstClr val="black"/>
              </a:solidFill>
              <a:latin typeface="Arial"/>
            </a:rPr>
            <a:t>e</a:t>
          </a:r>
          <a:r>
            <a:rPr lang="en-US" sz="1650" kern="0">
              <a:solidFill>
                <a:prstClr val="black"/>
              </a:solidFill>
              <a:latin typeface="Arial"/>
            </a:rPr>
            <a:t>nance </a:t>
          </a:r>
          <a:r>
            <a:rPr lang="id-ID" sz="1650" kern="0">
              <a:solidFill>
                <a:prstClr val="black"/>
              </a:solidFill>
              <a:latin typeface="Arial"/>
            </a:rPr>
            <a:t>lori dan waktu penuangannya.</a:t>
          </a:r>
          <a:endParaRPr lang="en-ID" sz="1650" kern="0">
            <a:solidFill>
              <a:prstClr val="black"/>
            </a:solidFill>
            <a:latin typeface="Arial"/>
          </a:endParaRPr>
        </a:p>
        <a:p>
          <a:pPr defTabSz="1371509">
            <a:defRPr/>
          </a:pPr>
          <a:endParaRPr lang="en-US" sz="1800" kern="0">
            <a:solidFill>
              <a:prstClr val="black"/>
            </a:solidFill>
            <a:latin typeface="Arial"/>
          </a:endParaRPr>
        </a:p>
      </xdr:txBody>
    </xdr:sp>
    <xdr:clientData/>
  </xdr:twoCellAnchor>
  <xdr:twoCellAnchor>
    <xdr:from>
      <xdr:col>13</xdr:col>
      <xdr:colOff>26906</xdr:colOff>
      <xdr:row>35</xdr:row>
      <xdr:rowOff>146377</xdr:rowOff>
    </xdr:from>
    <xdr:to>
      <xdr:col>23</xdr:col>
      <xdr:colOff>487011</xdr:colOff>
      <xdr:row>39</xdr:row>
      <xdr:rowOff>61188</xdr:rowOff>
    </xdr:to>
    <xdr:sp macro="" textlink="">
      <xdr:nvSpPr>
        <xdr:cNvPr id="6" name="TextBox 39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>
          <a:spLocks noChangeArrowheads="1"/>
        </xdr:cNvSpPr>
      </xdr:nvSpPr>
      <xdr:spPr bwMode="auto">
        <a:xfrm>
          <a:off x="10633946" y="6547177"/>
          <a:ext cx="6556105" cy="646331"/>
        </a:xfrm>
        <a:prstGeom prst="rect">
          <a:avLst/>
        </a:prstGeom>
        <a:noFill/>
        <a:ln w="50800">
          <a:noFill/>
          <a:miter lim="800000"/>
          <a:headEnd/>
          <a:tailEnd/>
        </a:ln>
        <a:scene3d>
          <a:camera prst="orthographicFront"/>
          <a:lightRig rig="threePt" dir="t"/>
        </a:scene3d>
        <a:sp3d>
          <a:bevelT/>
        </a:sp3d>
      </xdr:spPr>
      <xdr:txBody>
        <a:bodyPr wrap="square">
          <a:spAutoFit/>
        </a:bodyPr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just" defTabSz="1371509" eaLnBrk="0" hangingPunct="0">
            <a:defRPr/>
          </a:pPr>
          <a:r>
            <a:rPr lang="en-US" sz="1800">
              <a:solidFill>
                <a:prstClr val="black"/>
              </a:solidFill>
              <a:latin typeface="Arial"/>
              <a:cs typeface="Calibri" pitchFamily="34" charset="0"/>
            </a:rPr>
            <a:t>Berdasarkan analisa cost &amp; benefit maka kami memilih </a:t>
          </a:r>
        </a:p>
        <a:p>
          <a:pPr algn="just" defTabSz="1371509" eaLnBrk="0" hangingPunct="0">
            <a:defRPr/>
          </a:pPr>
          <a:r>
            <a:rPr lang="en-US" sz="1800" b="1" u="sng">
              <a:solidFill>
                <a:prstClr val="black"/>
              </a:solidFill>
              <a:latin typeface="Arial"/>
              <a:cs typeface="Calibri" pitchFamily="34" charset="0"/>
            </a:rPr>
            <a:t>solusi alternatif  </a:t>
          </a:r>
          <a:r>
            <a:rPr lang="id-ID" sz="1800" b="1" u="sng">
              <a:solidFill>
                <a:prstClr val="black"/>
              </a:solidFill>
              <a:latin typeface="Arial"/>
              <a:cs typeface="Calibri" pitchFamily="34" charset="0"/>
            </a:rPr>
            <a:t>2</a:t>
          </a:r>
        </a:p>
      </xdr:txBody>
    </xdr:sp>
    <xdr:clientData/>
  </xdr:twoCellAnchor>
  <xdr:twoCellAnchor editAs="oneCell">
    <xdr:from>
      <xdr:col>0</xdr:col>
      <xdr:colOff>2</xdr:colOff>
      <xdr:row>3</xdr:row>
      <xdr:rowOff>0</xdr:rowOff>
    </xdr:from>
    <xdr:to>
      <xdr:col>23</xdr:col>
      <xdr:colOff>487014</xdr:colOff>
      <xdr:row>34</xdr:row>
      <xdr:rowOff>173116</xdr:rowOff>
    </xdr:to>
    <xdr:pic>
      <xdr:nvPicPr>
        <xdr:cNvPr id="7" name="table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548640"/>
          <a:ext cx="17190052" cy="5842396"/>
        </a:xfrm>
        <a:prstGeom prst="rect">
          <a:avLst/>
        </a:prstGeom>
      </xdr:spPr>
    </xdr:pic>
    <xdr:clientData/>
  </xdr:twoCellAnchor>
  <xdr:twoCellAnchor editAs="oneCell">
    <xdr:from>
      <xdr:col>2</xdr:col>
      <xdr:colOff>184157</xdr:colOff>
      <xdr:row>43</xdr:row>
      <xdr:rowOff>26378</xdr:rowOff>
    </xdr:from>
    <xdr:to>
      <xdr:col>5</xdr:col>
      <xdr:colOff>576765</xdr:colOff>
      <xdr:row>48</xdr:row>
      <xdr:rowOff>135964</xdr:rowOff>
    </xdr:to>
    <xdr:pic>
      <xdr:nvPicPr>
        <xdr:cNvPr id="8" name="table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56897" y="7890218"/>
          <a:ext cx="3250108" cy="1023986"/>
        </a:xfrm>
        <a:prstGeom prst="rect">
          <a:avLst/>
        </a:prstGeom>
      </xdr:spPr>
    </xdr:pic>
    <xdr:clientData/>
  </xdr:twoCellAnchor>
  <xdr:twoCellAnchor editAs="oneCell">
    <xdr:from>
      <xdr:col>6</xdr:col>
      <xdr:colOff>59919</xdr:colOff>
      <xdr:row>35</xdr:row>
      <xdr:rowOff>177434</xdr:rowOff>
    </xdr:from>
    <xdr:to>
      <xdr:col>12</xdr:col>
      <xdr:colOff>409681</xdr:colOff>
      <xdr:row>42</xdr:row>
      <xdr:rowOff>110358</xdr:rowOff>
    </xdr:to>
    <xdr:pic>
      <xdr:nvPicPr>
        <xdr:cNvPr id="9" name="table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99759" y="6578234"/>
          <a:ext cx="4007362" cy="1213084"/>
        </a:xfrm>
        <a:prstGeom prst="rect">
          <a:avLst/>
        </a:prstGeom>
      </xdr:spPr>
    </xdr:pic>
    <xdr:clientData/>
  </xdr:twoCellAnchor>
  <xdr:twoCellAnchor editAs="oneCell">
    <xdr:from>
      <xdr:col>6</xdr:col>
      <xdr:colOff>59919</xdr:colOff>
      <xdr:row>43</xdr:row>
      <xdr:rowOff>26378</xdr:rowOff>
    </xdr:from>
    <xdr:to>
      <xdr:col>12</xdr:col>
      <xdr:colOff>414844</xdr:colOff>
      <xdr:row>48</xdr:row>
      <xdr:rowOff>135964</xdr:rowOff>
    </xdr:to>
    <xdr:pic>
      <xdr:nvPicPr>
        <xdr:cNvPr id="10" name="table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99759" y="7890218"/>
          <a:ext cx="4012525" cy="1023986"/>
        </a:xfrm>
        <a:prstGeom prst="rect">
          <a:avLst/>
        </a:prstGeom>
      </xdr:spPr>
    </xdr:pic>
    <xdr:clientData/>
  </xdr:twoCellAnchor>
  <xdr:twoCellAnchor editAs="oneCell">
    <xdr:from>
      <xdr:col>2</xdr:col>
      <xdr:colOff>196757</xdr:colOff>
      <xdr:row>35</xdr:row>
      <xdr:rowOff>177434</xdr:rowOff>
    </xdr:from>
    <xdr:to>
      <xdr:col>5</xdr:col>
      <xdr:colOff>576764</xdr:colOff>
      <xdr:row>42</xdr:row>
      <xdr:rowOff>110358</xdr:rowOff>
    </xdr:to>
    <xdr:pic>
      <xdr:nvPicPr>
        <xdr:cNvPr id="11" name="table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69497" y="6578234"/>
          <a:ext cx="3237507" cy="1213084"/>
        </a:xfrm>
        <a:prstGeom prst="rect">
          <a:avLst/>
        </a:prstGeom>
      </xdr:spPr>
    </xdr:pic>
    <xdr:clientData/>
  </xdr:twoCellAnchor>
  <xdr:twoCellAnchor editAs="oneCell">
    <xdr:from>
      <xdr:col>10</xdr:col>
      <xdr:colOff>342455</xdr:colOff>
      <xdr:row>32</xdr:row>
      <xdr:rowOff>27753</xdr:rowOff>
    </xdr:from>
    <xdr:to>
      <xdr:col>11</xdr:col>
      <xdr:colOff>335486</xdr:colOff>
      <xdr:row>35</xdr:row>
      <xdr:rowOff>41704</xdr:rowOff>
    </xdr:to>
    <xdr:pic>
      <xdr:nvPicPr>
        <xdr:cNvPr id="12" name="Picture 11" descr="Icon&#10;&#10;Description automatically generated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000"/>
        <a:stretch>
          <a:fillRect/>
        </a:stretch>
      </xdr:blipFill>
      <xdr:spPr bwMode="auto">
        <a:xfrm>
          <a:off x="9120695" y="5879913"/>
          <a:ext cx="602631" cy="562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344401</xdr:colOff>
      <xdr:row>32</xdr:row>
      <xdr:rowOff>14043</xdr:rowOff>
    </xdr:from>
    <xdr:to>
      <xdr:col>19</xdr:col>
      <xdr:colOff>313406</xdr:colOff>
      <xdr:row>35</xdr:row>
      <xdr:rowOff>48012</xdr:rowOff>
    </xdr:to>
    <xdr:pic>
      <xdr:nvPicPr>
        <xdr:cNvPr id="13" name="Picture 12" descr="Icon&#10;&#10;Description automatically generated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738"/>
        <a:stretch>
          <a:fillRect/>
        </a:stretch>
      </xdr:blipFill>
      <xdr:spPr bwMode="auto">
        <a:xfrm>
          <a:off x="13999441" y="5866203"/>
          <a:ext cx="578605" cy="5826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177579</xdr:colOff>
      <xdr:row>32</xdr:row>
      <xdr:rowOff>12962</xdr:rowOff>
    </xdr:from>
    <xdr:to>
      <xdr:col>4</xdr:col>
      <xdr:colOff>146584</xdr:colOff>
      <xdr:row>35</xdr:row>
      <xdr:rowOff>46931</xdr:rowOff>
    </xdr:to>
    <xdr:pic>
      <xdr:nvPicPr>
        <xdr:cNvPr id="14" name="Picture 13" descr="Icon&#10;&#10;Description automatically generated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738"/>
        <a:stretch>
          <a:fillRect/>
        </a:stretch>
      </xdr:blipFill>
      <xdr:spPr bwMode="auto">
        <a:xfrm>
          <a:off x="4688619" y="5865122"/>
          <a:ext cx="578605" cy="5826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98342</xdr:colOff>
      <xdr:row>25</xdr:row>
      <xdr:rowOff>125809</xdr:rowOff>
    </xdr:from>
    <xdr:to>
      <xdr:col>7</xdr:col>
      <xdr:colOff>587874</xdr:colOff>
      <xdr:row>27</xdr:row>
      <xdr:rowOff>60131</xdr:rowOff>
    </xdr:to>
    <xdr:sp macro="" textlink="">
      <xdr:nvSpPr>
        <xdr:cNvPr id="15" name="TextBox 39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 txBox="1"/>
      </xdr:nvSpPr>
      <xdr:spPr>
        <a:xfrm>
          <a:off x="7047782" y="4697809"/>
          <a:ext cx="489532" cy="300082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371509" eaLnBrk="0" fontAlgn="base" hangingPunct="0">
            <a:spcBef>
              <a:spcPct val="0"/>
            </a:spcBef>
            <a:spcAft>
              <a:spcPct val="0"/>
            </a:spcAft>
          </a:pPr>
          <a:r>
            <a:rPr lang="en-US" sz="1350">
              <a:solidFill>
                <a:srgbClr val="000000"/>
              </a:solidFill>
              <a:latin typeface="Arial" panose="020B0604020202020204" pitchFamily="34" charset="0"/>
            </a:rPr>
            <a:t>A</a:t>
          </a:r>
          <a:r>
            <a:rPr lang="id-ID" sz="1350">
              <a:solidFill>
                <a:srgbClr val="000000"/>
              </a:solidFill>
              <a:latin typeface="Arial" panose="020B0604020202020204" pitchFamily="34" charset="0"/>
            </a:rPr>
            <a:t>4</a:t>
          </a:r>
          <a:endParaRPr lang="en-US" sz="1350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98341</xdr:colOff>
      <xdr:row>27</xdr:row>
      <xdr:rowOff>148122</xdr:rowOff>
    </xdr:from>
    <xdr:to>
      <xdr:col>7</xdr:col>
      <xdr:colOff>587873</xdr:colOff>
      <xdr:row>29</xdr:row>
      <xdr:rowOff>82444</xdr:rowOff>
    </xdr:to>
    <xdr:sp macro="" textlink="">
      <xdr:nvSpPr>
        <xdr:cNvPr id="16" name="TextBox 40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 txBox="1"/>
      </xdr:nvSpPr>
      <xdr:spPr>
        <a:xfrm>
          <a:off x="7047781" y="5085882"/>
          <a:ext cx="489532" cy="300082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371509" eaLnBrk="0" fontAlgn="base" hangingPunct="0">
            <a:spcBef>
              <a:spcPct val="0"/>
            </a:spcBef>
            <a:spcAft>
              <a:spcPct val="0"/>
            </a:spcAft>
          </a:pPr>
          <a:r>
            <a:rPr lang="en-US" sz="1350">
              <a:solidFill>
                <a:srgbClr val="000000"/>
              </a:solidFill>
              <a:latin typeface="Arial" panose="020B0604020202020204" pitchFamily="34" charset="0"/>
            </a:rPr>
            <a:t>A2</a:t>
          </a:r>
        </a:p>
      </xdr:txBody>
    </xdr:sp>
    <xdr:clientData/>
  </xdr:twoCellAnchor>
  <xdr:twoCellAnchor>
    <xdr:from>
      <xdr:col>7</xdr:col>
      <xdr:colOff>92075</xdr:colOff>
      <xdr:row>30</xdr:row>
      <xdr:rowOff>16584</xdr:rowOff>
    </xdr:from>
    <xdr:to>
      <xdr:col>7</xdr:col>
      <xdr:colOff>594135</xdr:colOff>
      <xdr:row>31</xdr:row>
      <xdr:rowOff>133786</xdr:rowOff>
    </xdr:to>
    <xdr:sp macro="" textlink="">
      <xdr:nvSpPr>
        <xdr:cNvPr id="17" name="TextBox 41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 txBox="1"/>
      </xdr:nvSpPr>
      <xdr:spPr>
        <a:xfrm>
          <a:off x="7041515" y="5502984"/>
          <a:ext cx="502060" cy="300082"/>
        </a:xfrm>
        <a:prstGeom prst="rect">
          <a:avLst/>
        </a:prstGeom>
        <a:solidFill>
          <a:srgbClr val="1BF91B"/>
        </a:solidFill>
        <a:ln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371509" eaLnBrk="0" fontAlgn="base" hangingPunct="0">
            <a:spcBef>
              <a:spcPct val="0"/>
            </a:spcBef>
            <a:spcAft>
              <a:spcPct val="0"/>
            </a:spcAft>
          </a:pPr>
          <a:r>
            <a:rPr lang="en-US" sz="1350">
              <a:solidFill>
                <a:srgbClr val="000000"/>
              </a:solidFill>
              <a:latin typeface="Arial" panose="020B0604020202020204" pitchFamily="34" charset="0"/>
            </a:rPr>
            <a:t>A1</a:t>
          </a:r>
        </a:p>
      </xdr:txBody>
    </xdr:sp>
    <xdr:clientData/>
  </xdr:twoCellAnchor>
  <xdr:twoCellAnchor>
    <xdr:from>
      <xdr:col>7</xdr:col>
      <xdr:colOff>98344</xdr:colOff>
      <xdr:row>17</xdr:row>
      <xdr:rowOff>37611</xdr:rowOff>
    </xdr:from>
    <xdr:to>
      <xdr:col>7</xdr:col>
      <xdr:colOff>587876</xdr:colOff>
      <xdr:row>18</xdr:row>
      <xdr:rowOff>154813</xdr:rowOff>
    </xdr:to>
    <xdr:sp macro="" textlink="">
      <xdr:nvSpPr>
        <xdr:cNvPr id="18" name="TextBox 42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 txBox="1"/>
      </xdr:nvSpPr>
      <xdr:spPr>
        <a:xfrm>
          <a:off x="7047784" y="3146571"/>
          <a:ext cx="489532" cy="300082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371509" eaLnBrk="0" fontAlgn="base" hangingPunct="0">
            <a:spcBef>
              <a:spcPct val="0"/>
            </a:spcBef>
            <a:spcAft>
              <a:spcPct val="0"/>
            </a:spcAft>
          </a:pPr>
          <a:r>
            <a:rPr lang="en-US" sz="1350">
              <a:solidFill>
                <a:srgbClr val="000000"/>
              </a:solidFill>
              <a:latin typeface="Arial" panose="020B0604020202020204" pitchFamily="34" charset="0"/>
            </a:rPr>
            <a:t>A</a:t>
          </a:r>
          <a:r>
            <a:rPr lang="id-ID" sz="1350">
              <a:solidFill>
                <a:srgbClr val="000000"/>
              </a:solidFill>
              <a:latin typeface="Arial" panose="020B0604020202020204" pitchFamily="34" charset="0"/>
            </a:rPr>
            <a:t>4</a:t>
          </a:r>
          <a:endParaRPr lang="en-US" sz="1350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36929</xdr:colOff>
      <xdr:row>30</xdr:row>
      <xdr:rowOff>16584</xdr:rowOff>
    </xdr:from>
    <xdr:to>
      <xdr:col>14</xdr:col>
      <xdr:colOff>538989</xdr:colOff>
      <xdr:row>31</xdr:row>
      <xdr:rowOff>133786</xdr:rowOff>
    </xdr:to>
    <xdr:sp macro="" textlink="">
      <xdr:nvSpPr>
        <xdr:cNvPr id="19" name="TextBox 43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 txBox="1"/>
      </xdr:nvSpPr>
      <xdr:spPr>
        <a:xfrm>
          <a:off x="11253569" y="5502984"/>
          <a:ext cx="502060" cy="300082"/>
        </a:xfrm>
        <a:prstGeom prst="rect">
          <a:avLst/>
        </a:prstGeom>
        <a:solidFill>
          <a:srgbClr val="1BF91B"/>
        </a:solidFill>
        <a:ln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371509" eaLnBrk="0" fontAlgn="base" hangingPunct="0">
            <a:spcBef>
              <a:spcPct val="0"/>
            </a:spcBef>
            <a:spcAft>
              <a:spcPct val="0"/>
            </a:spcAft>
          </a:pPr>
          <a:r>
            <a:rPr lang="en-US" sz="1350">
              <a:solidFill>
                <a:srgbClr val="000000"/>
              </a:solidFill>
              <a:latin typeface="Arial" panose="020B0604020202020204" pitchFamily="34" charset="0"/>
            </a:rPr>
            <a:t>A1</a:t>
          </a:r>
        </a:p>
      </xdr:txBody>
    </xdr:sp>
    <xdr:clientData/>
  </xdr:twoCellAnchor>
  <xdr:twoCellAnchor>
    <xdr:from>
      <xdr:col>14</xdr:col>
      <xdr:colOff>36929</xdr:colOff>
      <xdr:row>27</xdr:row>
      <xdr:rowOff>148122</xdr:rowOff>
    </xdr:from>
    <xdr:to>
      <xdr:col>14</xdr:col>
      <xdr:colOff>538989</xdr:colOff>
      <xdr:row>29</xdr:row>
      <xdr:rowOff>82444</xdr:rowOff>
    </xdr:to>
    <xdr:sp macro="" textlink="">
      <xdr:nvSpPr>
        <xdr:cNvPr id="20" name="TextBox 44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 txBox="1"/>
      </xdr:nvSpPr>
      <xdr:spPr>
        <a:xfrm>
          <a:off x="11253569" y="5085882"/>
          <a:ext cx="502060" cy="300082"/>
        </a:xfrm>
        <a:prstGeom prst="rect">
          <a:avLst/>
        </a:prstGeom>
        <a:solidFill>
          <a:srgbClr val="1BF91B"/>
        </a:solidFill>
        <a:ln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371509" eaLnBrk="0" fontAlgn="base" hangingPunct="0">
            <a:spcBef>
              <a:spcPct val="0"/>
            </a:spcBef>
            <a:spcAft>
              <a:spcPct val="0"/>
            </a:spcAft>
          </a:pPr>
          <a:r>
            <a:rPr lang="en-US" sz="1350">
              <a:solidFill>
                <a:srgbClr val="000000"/>
              </a:solidFill>
              <a:latin typeface="Arial" panose="020B0604020202020204" pitchFamily="34" charset="0"/>
            </a:rPr>
            <a:t>A1</a:t>
          </a:r>
        </a:p>
      </xdr:txBody>
    </xdr:sp>
    <xdr:clientData/>
  </xdr:twoCellAnchor>
  <xdr:twoCellAnchor>
    <xdr:from>
      <xdr:col>14</xdr:col>
      <xdr:colOff>43195</xdr:colOff>
      <xdr:row>25</xdr:row>
      <xdr:rowOff>113079</xdr:rowOff>
    </xdr:from>
    <xdr:to>
      <xdr:col>14</xdr:col>
      <xdr:colOff>532727</xdr:colOff>
      <xdr:row>27</xdr:row>
      <xdr:rowOff>47401</xdr:rowOff>
    </xdr:to>
    <xdr:sp macro="" textlink="">
      <xdr:nvSpPr>
        <xdr:cNvPr id="21" name="TextBox 45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 txBox="1"/>
      </xdr:nvSpPr>
      <xdr:spPr>
        <a:xfrm>
          <a:off x="11259835" y="4685079"/>
          <a:ext cx="489532" cy="300082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371509" eaLnBrk="0" fontAlgn="base" hangingPunct="0">
            <a:spcBef>
              <a:spcPct val="0"/>
            </a:spcBef>
            <a:spcAft>
              <a:spcPct val="0"/>
            </a:spcAft>
          </a:pPr>
          <a:r>
            <a:rPr lang="en-US" sz="1350">
              <a:solidFill>
                <a:srgbClr val="000000"/>
              </a:solidFill>
              <a:latin typeface="Arial" panose="020B0604020202020204" pitchFamily="34" charset="0"/>
            </a:rPr>
            <a:t>A2</a:t>
          </a:r>
        </a:p>
      </xdr:txBody>
    </xdr:sp>
    <xdr:clientData/>
  </xdr:twoCellAnchor>
  <xdr:twoCellAnchor>
    <xdr:from>
      <xdr:col>14</xdr:col>
      <xdr:colOff>43195</xdr:colOff>
      <xdr:row>17</xdr:row>
      <xdr:rowOff>37611</xdr:rowOff>
    </xdr:from>
    <xdr:to>
      <xdr:col>14</xdr:col>
      <xdr:colOff>532727</xdr:colOff>
      <xdr:row>18</xdr:row>
      <xdr:rowOff>154813</xdr:rowOff>
    </xdr:to>
    <xdr:sp macro="" textlink="">
      <xdr:nvSpPr>
        <xdr:cNvPr id="22" name="TextBox 46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 txBox="1"/>
      </xdr:nvSpPr>
      <xdr:spPr>
        <a:xfrm>
          <a:off x="11259835" y="3146571"/>
          <a:ext cx="489532" cy="300082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371509" eaLnBrk="0" fontAlgn="base" hangingPunct="0">
            <a:spcBef>
              <a:spcPct val="0"/>
            </a:spcBef>
            <a:spcAft>
              <a:spcPct val="0"/>
            </a:spcAft>
          </a:pPr>
          <a:r>
            <a:rPr lang="en-US" sz="1350">
              <a:solidFill>
                <a:srgbClr val="000000"/>
              </a:solidFill>
              <a:latin typeface="Arial" panose="020B0604020202020204" pitchFamily="34" charset="0"/>
            </a:rPr>
            <a:t>A2</a:t>
          </a:r>
        </a:p>
      </xdr:txBody>
    </xdr:sp>
    <xdr:clientData/>
  </xdr:twoCellAnchor>
  <xdr:twoCellAnchor>
    <xdr:from>
      <xdr:col>22</xdr:col>
      <xdr:colOff>556995</xdr:colOff>
      <xdr:row>30</xdr:row>
      <xdr:rowOff>9302</xdr:rowOff>
    </xdr:from>
    <xdr:to>
      <xdr:col>23</xdr:col>
      <xdr:colOff>449455</xdr:colOff>
      <xdr:row>31</xdr:row>
      <xdr:rowOff>126504</xdr:rowOff>
    </xdr:to>
    <xdr:sp macro="" textlink="">
      <xdr:nvSpPr>
        <xdr:cNvPr id="23" name="TextBox 47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 txBox="1"/>
      </xdr:nvSpPr>
      <xdr:spPr>
        <a:xfrm>
          <a:off x="16650435" y="5495702"/>
          <a:ext cx="502060" cy="300082"/>
        </a:xfrm>
        <a:prstGeom prst="rect">
          <a:avLst/>
        </a:prstGeom>
        <a:solidFill>
          <a:srgbClr val="1BF91B"/>
        </a:solidFill>
        <a:ln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371509" eaLnBrk="0" fontAlgn="base" hangingPunct="0">
            <a:spcBef>
              <a:spcPct val="0"/>
            </a:spcBef>
            <a:spcAft>
              <a:spcPct val="0"/>
            </a:spcAft>
          </a:pPr>
          <a:r>
            <a:rPr lang="en-US" sz="1350">
              <a:solidFill>
                <a:srgbClr val="000000"/>
              </a:solidFill>
              <a:latin typeface="Arial" panose="020B0604020202020204" pitchFamily="34" charset="0"/>
            </a:rPr>
            <a:t>A1</a:t>
          </a:r>
        </a:p>
      </xdr:txBody>
    </xdr:sp>
    <xdr:clientData/>
  </xdr:twoCellAnchor>
  <xdr:twoCellAnchor>
    <xdr:from>
      <xdr:col>22</xdr:col>
      <xdr:colOff>556996</xdr:colOff>
      <xdr:row>27</xdr:row>
      <xdr:rowOff>128835</xdr:rowOff>
    </xdr:from>
    <xdr:to>
      <xdr:col>23</xdr:col>
      <xdr:colOff>436928</xdr:colOff>
      <xdr:row>29</xdr:row>
      <xdr:rowOff>63157</xdr:rowOff>
    </xdr:to>
    <xdr:sp macro="" textlink="">
      <xdr:nvSpPr>
        <xdr:cNvPr id="24" name="TextBox 48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 txBox="1"/>
      </xdr:nvSpPr>
      <xdr:spPr>
        <a:xfrm>
          <a:off x="16650436" y="5066595"/>
          <a:ext cx="489532" cy="300082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371509" eaLnBrk="0" fontAlgn="base" hangingPunct="0">
            <a:spcBef>
              <a:spcPct val="0"/>
            </a:spcBef>
            <a:spcAft>
              <a:spcPct val="0"/>
            </a:spcAft>
          </a:pPr>
          <a:r>
            <a:rPr lang="en-US" sz="1350">
              <a:solidFill>
                <a:srgbClr val="000000"/>
              </a:solidFill>
              <a:latin typeface="Arial" panose="020B0604020202020204" pitchFamily="34" charset="0"/>
            </a:rPr>
            <a:t>A</a:t>
          </a:r>
          <a:r>
            <a:rPr lang="id-ID" sz="1350">
              <a:solidFill>
                <a:srgbClr val="000000"/>
              </a:solidFill>
              <a:latin typeface="Arial" panose="020B0604020202020204" pitchFamily="34" charset="0"/>
            </a:rPr>
            <a:t>4</a:t>
          </a:r>
          <a:endParaRPr lang="en-US" sz="1350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556994</xdr:colOff>
      <xdr:row>25</xdr:row>
      <xdr:rowOff>113079</xdr:rowOff>
    </xdr:from>
    <xdr:to>
      <xdr:col>23</xdr:col>
      <xdr:colOff>436926</xdr:colOff>
      <xdr:row>27</xdr:row>
      <xdr:rowOff>47401</xdr:rowOff>
    </xdr:to>
    <xdr:sp macro="" textlink="">
      <xdr:nvSpPr>
        <xdr:cNvPr id="25" name="TextBox 49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 txBox="1"/>
      </xdr:nvSpPr>
      <xdr:spPr>
        <a:xfrm>
          <a:off x="16650434" y="4685079"/>
          <a:ext cx="489532" cy="300082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371509" eaLnBrk="0" fontAlgn="base" hangingPunct="0">
            <a:spcBef>
              <a:spcPct val="0"/>
            </a:spcBef>
            <a:spcAft>
              <a:spcPct val="0"/>
            </a:spcAft>
          </a:pPr>
          <a:r>
            <a:rPr lang="en-US" sz="1350">
              <a:solidFill>
                <a:srgbClr val="000000"/>
              </a:solidFill>
              <a:latin typeface="Arial" panose="020B0604020202020204" pitchFamily="34" charset="0"/>
            </a:rPr>
            <a:t>A</a:t>
          </a:r>
          <a:r>
            <a:rPr lang="id-ID" sz="1350">
              <a:solidFill>
                <a:srgbClr val="000000"/>
              </a:solidFill>
              <a:latin typeface="Arial" panose="020B0604020202020204" pitchFamily="34" charset="0"/>
            </a:rPr>
            <a:t>4</a:t>
          </a:r>
          <a:endParaRPr lang="en-US" sz="1350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563262</xdr:colOff>
      <xdr:row>17</xdr:row>
      <xdr:rowOff>37611</xdr:rowOff>
    </xdr:from>
    <xdr:to>
      <xdr:col>23</xdr:col>
      <xdr:colOff>443194</xdr:colOff>
      <xdr:row>18</xdr:row>
      <xdr:rowOff>154813</xdr:rowOff>
    </xdr:to>
    <xdr:sp macro="" textlink="">
      <xdr:nvSpPr>
        <xdr:cNvPr id="26" name="TextBox 50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 txBox="1"/>
      </xdr:nvSpPr>
      <xdr:spPr>
        <a:xfrm>
          <a:off x="16656702" y="3146571"/>
          <a:ext cx="489532" cy="300082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816376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632753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2449129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3265505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4081882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4898258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5714634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6531011" algn="l" defTabSz="1632753" rtl="0" eaLnBrk="1" latinLnBrk="0" hangingPunct="1">
            <a:defRPr sz="32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371509" eaLnBrk="0" fontAlgn="base" hangingPunct="0">
            <a:spcBef>
              <a:spcPct val="0"/>
            </a:spcBef>
            <a:spcAft>
              <a:spcPct val="0"/>
            </a:spcAft>
          </a:pPr>
          <a:r>
            <a:rPr lang="en-US" sz="1350">
              <a:solidFill>
                <a:srgbClr val="000000"/>
              </a:solidFill>
              <a:latin typeface="Arial" panose="020B0604020202020204" pitchFamily="34" charset="0"/>
            </a:rPr>
            <a:t>A</a:t>
          </a:r>
          <a:r>
            <a:rPr lang="id-ID" sz="1350">
              <a:solidFill>
                <a:srgbClr val="000000"/>
              </a:solidFill>
              <a:latin typeface="Arial" panose="020B0604020202020204" pitchFamily="34" charset="0"/>
            </a:rPr>
            <a:t>4</a:t>
          </a:r>
          <a:endParaRPr lang="en-US" sz="1350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35</xdr:row>
      <xdr:rowOff>177434</xdr:rowOff>
    </xdr:from>
    <xdr:to>
      <xdr:col>2</xdr:col>
      <xdr:colOff>108291</xdr:colOff>
      <xdr:row>48</xdr:row>
      <xdr:rowOff>135967</xdr:rowOff>
    </xdr:to>
    <xdr:pic>
      <xdr:nvPicPr>
        <xdr:cNvPr id="27" name="table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6578234"/>
          <a:ext cx="2981031" cy="2335973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294410</xdr:colOff>
      <xdr:row>14</xdr:row>
      <xdr:rowOff>95252</xdr:rowOff>
    </xdr:from>
    <xdr:to>
      <xdr:col>23</xdr:col>
      <xdr:colOff>190501</xdr:colOff>
      <xdr:row>16</xdr:row>
      <xdr:rowOff>69274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3818660" y="2433207"/>
          <a:ext cx="2822864" cy="3550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n-US" sz="800" b="1" i="1"/>
            <a:t>Kolom Akar Masalah :</a:t>
          </a:r>
          <a:r>
            <a:rPr lang="en-US" sz="800" i="1"/>
            <a:t> </a:t>
          </a:r>
        </a:p>
        <a:p>
          <a:pPr algn="l"/>
          <a:r>
            <a:rPr lang="en-US" sz="800" i="1"/>
            <a:t>Di isi</a:t>
          </a:r>
          <a:r>
            <a:rPr lang="en-US" sz="800" i="1" baseline="0"/>
            <a:t> dari kalimat dari tulang terakhir pada diagram fishbone </a:t>
          </a:r>
          <a:endParaRPr lang="en-US" sz="800" i="1"/>
        </a:p>
      </xdr:txBody>
    </xdr:sp>
    <xdr:clientData/>
  </xdr:twoCellAnchor>
  <xdr:twoCellAnchor>
    <xdr:from>
      <xdr:col>3</xdr:col>
      <xdr:colOff>28190</xdr:colOff>
      <xdr:row>14</xdr:row>
      <xdr:rowOff>102911</xdr:rowOff>
    </xdr:from>
    <xdr:to>
      <xdr:col>4</xdr:col>
      <xdr:colOff>54167</xdr:colOff>
      <xdr:row>15</xdr:row>
      <xdr:rowOff>104871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SpPr/>
      </xdr:nvSpPr>
      <xdr:spPr>
        <a:xfrm>
          <a:off x="521758" y="2250366"/>
          <a:ext cx="190500" cy="19246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1</xdr:colOff>
      <xdr:row>14</xdr:row>
      <xdr:rowOff>51954</xdr:rowOff>
    </xdr:from>
    <xdr:ext cx="510885" cy="222250"/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SpPr txBox="1"/>
      </xdr:nvSpPr>
      <xdr:spPr>
        <a:xfrm>
          <a:off x="1" y="2199409"/>
          <a:ext cx="510885" cy="22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Note :</a:t>
          </a:r>
        </a:p>
      </xdr:txBody>
    </xdr:sp>
    <xdr:clientData/>
  </xdr:oneCellAnchor>
  <xdr:oneCellAnchor>
    <xdr:from>
      <xdr:col>4</xdr:col>
      <xdr:colOff>16076</xdr:colOff>
      <xdr:row>14</xdr:row>
      <xdr:rowOff>66770</xdr:rowOff>
    </xdr:from>
    <xdr:ext cx="3005948" cy="292100"/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674167" y="2214225"/>
          <a:ext cx="3005948" cy="292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Kolom</a:t>
          </a:r>
          <a:r>
            <a:rPr lang="en-US" sz="1100" baseline="0"/>
            <a:t> yang berwarna kuning akan terisi otomatis.</a:t>
          </a:r>
          <a:endParaRPr lang="en-US" sz="1100"/>
        </a:p>
      </xdr:txBody>
    </xdr:sp>
    <xdr:clientData/>
  </xdr:oneCellAnchor>
  <xdr:twoCellAnchor>
    <xdr:from>
      <xdr:col>41</xdr:col>
      <xdr:colOff>0</xdr:colOff>
      <xdr:row>14</xdr:row>
      <xdr:rowOff>0</xdr:rowOff>
    </xdr:from>
    <xdr:to>
      <xdr:col>42</xdr:col>
      <xdr:colOff>231631</xdr:colOff>
      <xdr:row>16</xdr:row>
      <xdr:rowOff>57149</xdr:rowOff>
    </xdr:to>
    <xdr:sp macro="" textlink="">
      <xdr:nvSpPr>
        <xdr:cNvPr id="7" name="Right Arrow 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E00-000007000000}"/>
            </a:ext>
          </a:extLst>
        </xdr:cNvPr>
        <xdr:cNvSpPr/>
      </xdr:nvSpPr>
      <xdr:spPr>
        <a:xfrm flipH="1">
          <a:off x="12120563" y="2714625"/>
          <a:ext cx="588818" cy="438149"/>
        </a:xfrm>
        <a:prstGeom prst="rightArrow">
          <a:avLst>
            <a:gd name="adj1" fmla="val 50000"/>
            <a:gd name="adj2" fmla="val 53296"/>
          </a:avLst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</a:t>
          </a:r>
        </a:p>
      </xdr:txBody>
    </xdr:sp>
    <xdr:clientData/>
  </xdr:twoCellAnchor>
  <xdr:twoCellAnchor>
    <xdr:from>
      <xdr:col>27</xdr:col>
      <xdr:colOff>134937</xdr:colOff>
      <xdr:row>0</xdr:row>
      <xdr:rowOff>198437</xdr:rowOff>
    </xdr:from>
    <xdr:to>
      <xdr:col>36</xdr:col>
      <xdr:colOff>246062</xdr:colOff>
      <xdr:row>16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8667750" y="198437"/>
          <a:ext cx="2984500" cy="2960688"/>
        </a:xfrm>
        <a:prstGeom prst="rect">
          <a:avLst/>
        </a:prstGeom>
        <a:solidFill>
          <a:srgbClr val="00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Target Antara </a:t>
          </a:r>
          <a:r>
            <a:rPr lang="en-US" sz="1100" b="1"/>
            <a:t>:</a:t>
          </a:r>
        </a:p>
        <a:p>
          <a:r>
            <a:rPr lang="en-US" sz="1100" b="1"/>
            <a:t>Target Step 3 x % prioritas perbaikan di Step</a:t>
          </a:r>
          <a:r>
            <a:rPr lang="en-US" sz="1100" b="1" baseline="0"/>
            <a:t> 4b</a:t>
          </a:r>
        </a:p>
        <a:p>
          <a:r>
            <a:rPr lang="en-US" sz="1100" b="1" baseline="0"/>
            <a:t>Misalnya</a:t>
          </a:r>
        </a:p>
        <a:p>
          <a:r>
            <a:rPr lang="en-US" sz="1100" b="1" baseline="0"/>
            <a:t>Targetnya menaikan output dari 30 ke 40 kg (gap 10kg)</a:t>
          </a:r>
        </a:p>
        <a:p>
          <a:r>
            <a:rPr lang="en-US" sz="1100" b="1" baseline="0"/>
            <a:t>Faktor Material 60% dan target Gap target di step 3 = 10 kg maka 60% x 10 kg = 6 kg</a:t>
          </a:r>
        </a:p>
        <a:p>
          <a:r>
            <a:rPr lang="en-US" sz="1100" b="1" baseline="0"/>
            <a:t>Maka target antaranya adalah dari 30 ke 36 kg (gap 6 kg)</a:t>
          </a:r>
        </a:p>
        <a:p>
          <a:r>
            <a:rPr lang="en-US" sz="1100" b="1" baseline="0"/>
            <a:t>Dan Faktor metode 40% , maka 40% x 10kg = 4 kg. Maka target antara di akar masalah faktor metoda dari 30 ke 34 kg.(gap 4 kg)</a:t>
          </a:r>
        </a:p>
        <a:p>
          <a:r>
            <a:rPr lang="en-US" sz="1100" b="1" baseline="0"/>
            <a:t>Total gap faktor material dan metoda 10 kg , sama dgn gap target di step 3</a:t>
          </a:r>
        </a:p>
        <a:p>
          <a:r>
            <a:rPr lang="en-US" sz="1100" b="1" baseline="0"/>
            <a:t>Gunakan grafik  batang untuk target antara</a:t>
          </a:r>
        </a:p>
        <a:p>
          <a:endParaRPr lang="en-US" sz="11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45507</xdr:colOff>
      <xdr:row>36</xdr:row>
      <xdr:rowOff>50957</xdr:rowOff>
    </xdr:from>
    <xdr:to>
      <xdr:col>2</xdr:col>
      <xdr:colOff>236007</xdr:colOff>
      <xdr:row>37</xdr:row>
      <xdr:rowOff>52917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SpPr/>
      </xdr:nvSpPr>
      <xdr:spPr>
        <a:xfrm>
          <a:off x="521757" y="5376298"/>
          <a:ext cx="190500" cy="19246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740833" cy="222250"/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0" y="5325341"/>
          <a:ext cx="740833" cy="22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Note :</a:t>
          </a:r>
        </a:p>
      </xdr:txBody>
    </xdr:sp>
    <xdr:clientData/>
  </xdr:oneCellAnchor>
  <xdr:oneCellAnchor>
    <xdr:from>
      <xdr:col>2</xdr:col>
      <xdr:colOff>197915</xdr:colOff>
      <xdr:row>36</xdr:row>
      <xdr:rowOff>14816</xdr:rowOff>
    </xdr:from>
    <xdr:ext cx="3520012" cy="292100"/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674165" y="5340157"/>
          <a:ext cx="3520012" cy="292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Kolom</a:t>
          </a:r>
          <a:r>
            <a:rPr lang="en-US" sz="1100" baseline="0"/>
            <a:t> yang berwarna kuning akan terisi otomatis.</a:t>
          </a:r>
          <a:endParaRPr lang="en-US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23813</xdr:colOff>
      <xdr:row>10</xdr:row>
      <xdr:rowOff>13492</xdr:rowOff>
    </xdr:from>
    <xdr:to>
      <xdr:col>9</xdr:col>
      <xdr:colOff>166687</xdr:colOff>
      <xdr:row>23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521757</xdr:colOff>
      <xdr:row>23</xdr:row>
      <xdr:rowOff>108107</xdr:rowOff>
    </xdr:from>
    <xdr:to>
      <xdr:col>1</xdr:col>
      <xdr:colOff>712257</xdr:colOff>
      <xdr:row>24</xdr:row>
      <xdr:rowOff>110067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00000000-0008-0000-1000-000005000000}"/>
            </a:ext>
          </a:extLst>
        </xdr:cNvPr>
        <xdr:cNvSpPr/>
      </xdr:nvSpPr>
      <xdr:spPr>
        <a:xfrm>
          <a:off x="731307" y="4603907"/>
          <a:ext cx="190500" cy="19246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0</xdr:colOff>
      <xdr:row>23</xdr:row>
      <xdr:rowOff>57150</xdr:rowOff>
    </xdr:from>
    <xdr:ext cx="740833" cy="222250"/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209550" y="4552950"/>
          <a:ext cx="740833" cy="22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Note :</a:t>
          </a:r>
        </a:p>
      </xdr:txBody>
    </xdr:sp>
    <xdr:clientData/>
  </xdr:oneCellAnchor>
  <xdr:oneCellAnchor>
    <xdr:from>
      <xdr:col>1</xdr:col>
      <xdr:colOff>674165</xdr:colOff>
      <xdr:row>23</xdr:row>
      <xdr:rowOff>71966</xdr:rowOff>
    </xdr:from>
    <xdr:ext cx="3520012" cy="292100"/>
    <xdr:sp macro="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1000-000007000000}"/>
            </a:ext>
          </a:extLst>
        </xdr:cNvPr>
        <xdr:cNvSpPr txBox="1"/>
      </xdr:nvSpPr>
      <xdr:spPr>
        <a:xfrm>
          <a:off x="883715" y="4567766"/>
          <a:ext cx="3520012" cy="292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Kolom</a:t>
          </a:r>
          <a:r>
            <a:rPr lang="en-US" sz="1100" baseline="0"/>
            <a:t> yang berwarna kuning akan terisi otomatis.</a:t>
          </a:r>
          <a:endParaRPr lang="en-US" sz="1100"/>
        </a:p>
      </xdr:txBody>
    </xdr:sp>
    <xdr:clientData/>
  </xdr:oneCellAnchor>
  <xdr:twoCellAnchor>
    <xdr:from>
      <xdr:col>18</xdr:col>
      <xdr:colOff>0</xdr:colOff>
      <xdr:row>21</xdr:row>
      <xdr:rowOff>0</xdr:rowOff>
    </xdr:from>
    <xdr:to>
      <xdr:col>18</xdr:col>
      <xdr:colOff>588818</xdr:colOff>
      <xdr:row>23</xdr:row>
      <xdr:rowOff>57149</xdr:rowOff>
    </xdr:to>
    <xdr:sp macro="" textlink="">
      <xdr:nvSpPr>
        <xdr:cNvPr id="8" name="Right Arrow 7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000-000008000000}"/>
            </a:ext>
          </a:extLst>
        </xdr:cNvPr>
        <xdr:cNvSpPr/>
      </xdr:nvSpPr>
      <xdr:spPr>
        <a:xfrm flipH="1">
          <a:off x="6981825" y="4114800"/>
          <a:ext cx="588818" cy="438149"/>
        </a:xfrm>
        <a:prstGeom prst="rightArrow">
          <a:avLst>
            <a:gd name="adj1" fmla="val 50000"/>
            <a:gd name="adj2" fmla="val 53296"/>
          </a:avLst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</a:t>
          </a:r>
        </a:p>
      </xdr:txBody>
    </xdr:sp>
    <xdr:clientData/>
  </xdr:twoCellAnchor>
  <xdr:twoCellAnchor>
    <xdr:from>
      <xdr:col>7</xdr:col>
      <xdr:colOff>173501</xdr:colOff>
      <xdr:row>11</xdr:row>
      <xdr:rowOff>85726</xdr:rowOff>
    </xdr:from>
    <xdr:to>
      <xdr:col>8</xdr:col>
      <xdr:colOff>74149</xdr:colOff>
      <xdr:row>12</xdr:row>
      <xdr:rowOff>180976</xdr:rowOff>
    </xdr:to>
    <xdr:sp macro="" textlink="$I$8">
      <xdr:nvSpPr>
        <xdr:cNvPr id="9" name="Rounded Rectangle 8">
          <a:extLst>
            <a:ext uri="{FF2B5EF4-FFF2-40B4-BE49-F238E27FC236}">
              <a16:creationId xmlns="" xmlns:a16="http://schemas.microsoft.com/office/drawing/2014/main" id="{00000000-0008-0000-1000-000009000000}"/>
            </a:ext>
          </a:extLst>
        </xdr:cNvPr>
        <xdr:cNvSpPr/>
      </xdr:nvSpPr>
      <xdr:spPr>
        <a:xfrm>
          <a:off x="4393076" y="2295526"/>
          <a:ext cx="624548" cy="285750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16B104D4-1C97-49D8-A58C-85092D9936D1}" type="TxLink">
            <a:rPr lang="en-US" sz="1100" b="1">
              <a:solidFill>
                <a:sysClr val="windowText" lastClr="000000"/>
              </a:solidFill>
            </a:rPr>
            <a:pPr algn="ctr"/>
            <a:t>100,0%</a:t>
          </a:fld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7</xdr:col>
      <xdr:colOff>406400</xdr:colOff>
      <xdr:row>0</xdr:row>
      <xdr:rowOff>120650</xdr:rowOff>
    </xdr:from>
    <xdr:to>
      <xdr:col>9</xdr:col>
      <xdr:colOff>473428</xdr:colOff>
      <xdr:row>2</xdr:row>
      <xdr:rowOff>185978</xdr:rowOff>
    </xdr:to>
    <xdr:pic>
      <xdr:nvPicPr>
        <xdr:cNvPr id="10" name="Picture 9">
          <a:extLst>
            <a:ext uri="{FF2B5EF4-FFF2-40B4-BE49-F238E27FC236}">
              <a16:creationId xmlns=""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650" y="120650"/>
          <a:ext cx="1559278" cy="54792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137583</xdr:colOff>
      <xdr:row>19</xdr:row>
      <xdr:rowOff>83606</xdr:rowOff>
    </xdr:from>
    <xdr:to>
      <xdr:col>8</xdr:col>
      <xdr:colOff>370417</xdr:colOff>
      <xdr:row>38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214840</xdr:colOff>
      <xdr:row>17</xdr:row>
      <xdr:rowOff>241458</xdr:rowOff>
    </xdr:from>
    <xdr:to>
      <xdr:col>1</xdr:col>
      <xdr:colOff>405340</xdr:colOff>
      <xdr:row>18</xdr:row>
      <xdr:rowOff>158751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532340" y="4474791"/>
          <a:ext cx="190500" cy="19246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10583</xdr:colOff>
      <xdr:row>17</xdr:row>
      <xdr:rowOff>190501</xdr:rowOff>
    </xdr:from>
    <xdr:ext cx="740833" cy="222250"/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SpPr txBox="1"/>
      </xdr:nvSpPr>
      <xdr:spPr>
        <a:xfrm>
          <a:off x="10583" y="4423834"/>
          <a:ext cx="740833" cy="22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Note :</a:t>
          </a:r>
        </a:p>
      </xdr:txBody>
    </xdr:sp>
    <xdr:clientData/>
  </xdr:oneCellAnchor>
  <xdr:oneCellAnchor>
    <xdr:from>
      <xdr:col>1</xdr:col>
      <xdr:colOff>367248</xdr:colOff>
      <xdr:row>17</xdr:row>
      <xdr:rowOff>205317</xdr:rowOff>
    </xdr:from>
    <xdr:ext cx="3520012" cy="292100"/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684748" y="4438650"/>
          <a:ext cx="3520012" cy="292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Kolom</a:t>
          </a:r>
          <a:r>
            <a:rPr lang="en-US" sz="1100" baseline="0"/>
            <a:t> yang berwarna kuning akan terisi otomatis.</a:t>
          </a:r>
          <a:endParaRPr lang="en-US" sz="1100"/>
        </a:p>
      </xdr:txBody>
    </xdr:sp>
    <xdr:clientData/>
  </xdr:oneCellAnchor>
  <xdr:twoCellAnchor editAs="oneCell">
    <xdr:from>
      <xdr:col>9</xdr:col>
      <xdr:colOff>615950</xdr:colOff>
      <xdr:row>0</xdr:row>
      <xdr:rowOff>152400</xdr:rowOff>
    </xdr:from>
    <xdr:to>
      <xdr:col>11</xdr:col>
      <xdr:colOff>324608</xdr:colOff>
      <xdr:row>2</xdr:row>
      <xdr:rowOff>82550</xdr:rowOff>
    </xdr:to>
    <xdr:pic>
      <xdr:nvPicPr>
        <xdr:cNvPr id="8" name="Picture 7">
          <a:extLst>
            <a:ext uri="{FF2B5EF4-FFF2-40B4-BE49-F238E27FC236}">
              <a16:creationId xmlns=""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152400"/>
          <a:ext cx="965958" cy="40005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137583</xdr:colOff>
      <xdr:row>19</xdr:row>
      <xdr:rowOff>83606</xdr:rowOff>
    </xdr:from>
    <xdr:to>
      <xdr:col>8</xdr:col>
      <xdr:colOff>370417</xdr:colOff>
      <xdr:row>38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214840</xdr:colOff>
      <xdr:row>17</xdr:row>
      <xdr:rowOff>241458</xdr:rowOff>
    </xdr:from>
    <xdr:to>
      <xdr:col>1</xdr:col>
      <xdr:colOff>405340</xdr:colOff>
      <xdr:row>18</xdr:row>
      <xdr:rowOff>158751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SpPr/>
      </xdr:nvSpPr>
      <xdr:spPr>
        <a:xfrm>
          <a:off x="542500" y="4942998"/>
          <a:ext cx="190500" cy="191613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10583</xdr:colOff>
      <xdr:row>17</xdr:row>
      <xdr:rowOff>190501</xdr:rowOff>
    </xdr:from>
    <xdr:ext cx="740833" cy="222250"/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10583" y="4892041"/>
          <a:ext cx="740833" cy="22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Note :</a:t>
          </a:r>
        </a:p>
      </xdr:txBody>
    </xdr:sp>
    <xdr:clientData/>
  </xdr:oneCellAnchor>
  <xdr:oneCellAnchor>
    <xdr:from>
      <xdr:col>1</xdr:col>
      <xdr:colOff>367248</xdr:colOff>
      <xdr:row>17</xdr:row>
      <xdr:rowOff>205317</xdr:rowOff>
    </xdr:from>
    <xdr:ext cx="3520012" cy="292100"/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694908" y="4906857"/>
          <a:ext cx="3520012" cy="292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Kolom</a:t>
          </a:r>
          <a:r>
            <a:rPr lang="en-US" sz="1100" baseline="0"/>
            <a:t> yang berwarna kuning akan terisi otomatis.</a:t>
          </a:r>
          <a:endParaRPr lang="en-US" sz="1100"/>
        </a:p>
      </xdr:txBody>
    </xdr:sp>
    <xdr:clientData/>
  </xdr:oneCellAnchor>
  <xdr:twoCellAnchor editAs="oneCell">
    <xdr:from>
      <xdr:col>9</xdr:col>
      <xdr:colOff>615950</xdr:colOff>
      <xdr:row>0</xdr:row>
      <xdr:rowOff>152400</xdr:rowOff>
    </xdr:from>
    <xdr:to>
      <xdr:col>11</xdr:col>
      <xdr:colOff>324608</xdr:colOff>
      <xdr:row>2</xdr:row>
      <xdr:rowOff>82550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9530" y="152400"/>
          <a:ext cx="943098" cy="40259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180975</xdr:rowOff>
    </xdr:from>
    <xdr:to>
      <xdr:col>9</xdr:col>
      <xdr:colOff>588818</xdr:colOff>
      <xdr:row>16</xdr:row>
      <xdr:rowOff>47624</xdr:rowOff>
    </xdr:to>
    <xdr:sp macro="" textlink="">
      <xdr:nvSpPr>
        <xdr:cNvPr id="2" name="Right Arrow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SpPr/>
      </xdr:nvSpPr>
      <xdr:spPr>
        <a:xfrm flipH="1">
          <a:off x="7058025" y="3876675"/>
          <a:ext cx="588818" cy="438149"/>
        </a:xfrm>
        <a:prstGeom prst="rightArrow">
          <a:avLst>
            <a:gd name="adj1" fmla="val 50000"/>
            <a:gd name="adj2" fmla="val 53296"/>
          </a:avLst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Back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0</xdr:row>
      <xdr:rowOff>127000</xdr:rowOff>
    </xdr:from>
    <xdr:to>
      <xdr:col>9</xdr:col>
      <xdr:colOff>285750</xdr:colOff>
      <xdr:row>2</xdr:row>
      <xdr:rowOff>127000</xdr:rowOff>
    </xdr:to>
    <xdr:sp macro="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1500-000008000000}"/>
            </a:ext>
          </a:extLst>
        </xdr:cNvPr>
        <xdr:cNvSpPr/>
      </xdr:nvSpPr>
      <xdr:spPr>
        <a:xfrm>
          <a:off x="4991100" y="127000"/>
          <a:ext cx="781050" cy="3683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260350</xdr:colOff>
      <xdr:row>0</xdr:row>
      <xdr:rowOff>146050</xdr:rowOff>
    </xdr:from>
    <xdr:to>
      <xdr:col>17</xdr:col>
      <xdr:colOff>431800</xdr:colOff>
      <xdr:row>2</xdr:row>
      <xdr:rowOff>146050</xdr:rowOff>
    </xdr:to>
    <xdr:sp macro="" textlink="">
      <xdr:nvSpPr>
        <xdr:cNvPr id="9" name="Rectangle 8">
          <a:extLst>
            <a:ext uri="{FF2B5EF4-FFF2-40B4-BE49-F238E27FC236}">
              <a16:creationId xmlns="" xmlns:a16="http://schemas.microsoft.com/office/drawing/2014/main" id="{00000000-0008-0000-1500-000009000000}"/>
            </a:ext>
          </a:extLst>
        </xdr:cNvPr>
        <xdr:cNvSpPr/>
      </xdr:nvSpPr>
      <xdr:spPr>
        <a:xfrm>
          <a:off x="10013950" y="146050"/>
          <a:ext cx="781050" cy="3683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289560</xdr:colOff>
      <xdr:row>4</xdr:row>
      <xdr:rowOff>30480</xdr:rowOff>
    </xdr:from>
    <xdr:to>
      <xdr:col>3</xdr:col>
      <xdr:colOff>358140</xdr:colOff>
      <xdr:row>9</xdr:row>
      <xdr:rowOff>175260</xdr:rowOff>
    </xdr:to>
    <xdr:sp macro="" textlink="">
      <xdr:nvSpPr>
        <xdr:cNvPr id="11" name="Arrow: Right 10">
          <a:extLst>
            <a:ext uri="{FF2B5EF4-FFF2-40B4-BE49-F238E27FC236}">
              <a16:creationId xmlns="" xmlns:a16="http://schemas.microsoft.com/office/drawing/2014/main" id="{00000000-0008-0000-1500-00000B000000}"/>
            </a:ext>
          </a:extLst>
        </xdr:cNvPr>
        <xdr:cNvSpPr/>
      </xdr:nvSpPr>
      <xdr:spPr>
        <a:xfrm rot="16200000">
          <a:off x="1318260" y="952500"/>
          <a:ext cx="1059180" cy="67818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36</xdr:row>
      <xdr:rowOff>44450</xdr:rowOff>
    </xdr:from>
    <xdr:to>
      <xdr:col>18</xdr:col>
      <xdr:colOff>203200</xdr:colOff>
      <xdr:row>41</xdr:row>
      <xdr:rowOff>146050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1600-000002000000}"/>
            </a:ext>
          </a:extLst>
        </xdr:cNvPr>
        <xdr:cNvSpPr/>
      </xdr:nvSpPr>
      <xdr:spPr>
        <a:xfrm>
          <a:off x="222250" y="8286750"/>
          <a:ext cx="5702300" cy="958850"/>
        </a:xfrm>
        <a:prstGeom prst="rect">
          <a:avLst/>
        </a:prstGeom>
        <a:solidFill>
          <a:srgbClr val="00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rgbClr val="FF0000"/>
              </a:solidFill>
            </a:rPr>
            <a:t>QCP tidak</a:t>
          </a:r>
          <a:r>
            <a:rPr lang="en-US" sz="2400" b="1" baseline="0">
              <a:solidFill>
                <a:srgbClr val="FF0000"/>
              </a:solidFill>
            </a:rPr>
            <a:t> perlu ada rencana berikutnya</a:t>
          </a:r>
          <a:endParaRPr lang="en-US" sz="2400" b="1">
            <a:solidFill>
              <a:srgbClr val="FF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okoh Tri Handoko" refreshedDate="45405.385728935187" createdVersion="4" refreshedVersion="8" minRefreshableVersion="3" recordCount="15">
  <cacheSource type="worksheet">
    <worksheetSource ref="B6:L17" sheet="Step 2"/>
  </cacheSource>
  <cacheFields count="10">
    <cacheField name="Faktor " numFmtId="0">
      <sharedItems containsBlank="1" count="8">
        <s v="Material"/>
        <s v="Metode"/>
        <m/>
        <s v="Manusia" u="1"/>
        <s v="Lingkungan" u="1"/>
        <s v="Mesin" u="1"/>
        <s v="Alat" u="1"/>
        <s v="Mesin " u="1"/>
      </sharedItems>
    </cacheField>
    <cacheField name="No" numFmtId="0">
      <sharedItems containsSemiMixedTypes="0" containsString="0" containsNumber="1" containsInteger="1" minValue="1" maxValue="15"/>
    </cacheField>
    <cacheField name="Kondisi Aktual" numFmtId="0">
      <sharedItems containsBlank="1" count="26">
        <s v="C"/>
        <s v="B"/>
        <m/>
        <s v="aaaaa" u="1"/>
        <s v="bbbbbb" u="1"/>
        <s v="tidak terampil manen pokok tinggi" u="1"/>
        <s v="lambat masuk hancak" u="1"/>
        <s v="Truk sering standby di kantor afdeling" u="1"/>
        <s v="Banyak brondolan tidak di kutib oleh pemanen" u="1"/>
        <s v="Posisi mangkok miring" u="1"/>
        <s v="Keahlian pemanen kurang" u="1"/>
        <s v="TBS lambat keluar sehingga DT berputar putar" u="1"/>
        <s v="buah lambat keluar tph" u="1"/>
        <s v="Makan pagi dilapangan" u="1"/>
        <s v="asah alat panen di lapangan" u="1"/>
        <s v="alat panen tidak rapi" u="1"/>
        <s v="Aliran lateks berantakan" u="1"/>
        <s v="panen tbs terlambat" u="1"/>
        <s v="Lateks mengalir di dinding sadapan" u="1"/>
        <s v="Pokok mati" u="1"/>
        <s v="terlambat apel pagi" u="1"/>
        <s v="kondisi hancak jurang" u="1"/>
        <s v="Pengaturan kebutuhan truk sering salah (lebih/kurang)" u="1"/>
        <s v="Lateks mengandung air" u="1"/>
        <s v="pokok gondrong" u="1"/>
        <s v="Rute angkut selalu berbeda" u="1"/>
      </sharedItems>
    </cacheField>
    <cacheField name="Kondisi Seharusnya / Standard" numFmtId="0">
      <sharedItems containsBlank="1"/>
    </cacheField>
    <cacheField name="Dokumentasi" numFmtId="0">
      <sharedItems containsNonDate="0" containsString="0" containsBlank="1"/>
    </cacheField>
    <cacheField name="Dampak" numFmtId="0">
      <sharedItems containsNonDate="0" containsString="0" containsBlank="1"/>
    </cacheField>
    <cacheField name="Tanggal" numFmtId="0">
      <sharedItems containsNonDate="0" containsString="0" containsBlank="1"/>
    </cacheField>
    <cacheField name="PIC" numFmtId="0">
      <sharedItems containsNonDate="0" containsString="0" containsBlank="1"/>
    </cacheField>
    <cacheField name="Kesimpulan _x000a_(Pengaruh Y/N)" numFmtId="0">
      <sharedItems containsBlank="1"/>
    </cacheField>
    <cacheField name="Status" numFmtId="0">
      <sharedItems containsMixedTypes="1" containsNumber="1" containsInteger="1" minValue="1" maxValue="2" count="3">
        <n v="1"/>
        <s v=""/>
        <n v="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n v="1"/>
    <x v="0"/>
    <s v="C"/>
    <m/>
    <m/>
    <m/>
    <m/>
    <s v="Ya"/>
    <x v="0"/>
  </r>
  <r>
    <x v="1"/>
    <n v="2"/>
    <x v="1"/>
    <s v="C"/>
    <m/>
    <m/>
    <m/>
    <m/>
    <s v="Ya"/>
    <x v="0"/>
  </r>
  <r>
    <x v="2"/>
    <n v="3"/>
    <x v="2"/>
    <m/>
    <m/>
    <m/>
    <m/>
    <m/>
    <m/>
    <x v="1"/>
  </r>
  <r>
    <x v="2"/>
    <n v="4"/>
    <x v="2"/>
    <m/>
    <m/>
    <m/>
    <m/>
    <m/>
    <m/>
    <x v="1"/>
  </r>
  <r>
    <x v="2"/>
    <n v="5"/>
    <x v="2"/>
    <m/>
    <m/>
    <m/>
    <m/>
    <m/>
    <m/>
    <x v="1"/>
  </r>
  <r>
    <x v="2"/>
    <n v="6"/>
    <x v="2"/>
    <m/>
    <m/>
    <m/>
    <m/>
    <m/>
    <m/>
    <x v="1"/>
  </r>
  <r>
    <x v="2"/>
    <n v="7"/>
    <x v="2"/>
    <m/>
    <m/>
    <m/>
    <m/>
    <m/>
    <m/>
    <x v="1"/>
  </r>
  <r>
    <x v="2"/>
    <n v="8"/>
    <x v="2"/>
    <m/>
    <m/>
    <m/>
    <m/>
    <m/>
    <m/>
    <x v="1"/>
  </r>
  <r>
    <x v="2"/>
    <n v="9"/>
    <x v="2"/>
    <m/>
    <m/>
    <m/>
    <m/>
    <m/>
    <m/>
    <x v="1"/>
  </r>
  <r>
    <x v="2"/>
    <n v="10"/>
    <x v="2"/>
    <m/>
    <m/>
    <m/>
    <m/>
    <m/>
    <m/>
    <x v="1"/>
  </r>
  <r>
    <x v="2"/>
    <n v="11"/>
    <x v="2"/>
    <m/>
    <m/>
    <m/>
    <m/>
    <m/>
    <m/>
    <x v="1"/>
  </r>
  <r>
    <x v="2"/>
    <n v="12"/>
    <x v="2"/>
    <m/>
    <m/>
    <m/>
    <m/>
    <m/>
    <m/>
    <x v="1"/>
  </r>
  <r>
    <x v="2"/>
    <n v="13"/>
    <x v="2"/>
    <m/>
    <m/>
    <m/>
    <m/>
    <m/>
    <m/>
    <x v="1"/>
  </r>
  <r>
    <x v="2"/>
    <n v="14"/>
    <x v="2"/>
    <m/>
    <m/>
    <m/>
    <m/>
    <m/>
    <m/>
    <x v="1"/>
  </r>
  <r>
    <x v="2"/>
    <n v="15"/>
    <x v="2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4" indent="0" compact="0" compactData="0" gridDropZones="1" multipleFieldFilters="0">
  <location ref="A3:H6" firstHeaderRow="2" firstDataRow="2" firstDataCol="2" rowPageCount="1" colPageCount="1"/>
  <pivotFields count="10">
    <pivotField axis="axisRow" compact="0" outline="0" showAll="0" defaultSubtotal="0">
      <items count="8">
        <item x="0"/>
        <item m="1" x="7"/>
        <item x="1"/>
        <item x="2"/>
        <item m="1" x="5"/>
        <item m="1" x="3"/>
        <item m="1" x="6"/>
        <item m="1" x="4"/>
      </items>
    </pivotField>
    <pivotField compact="0" outline="0" showAll="0" defaultSubtotal="0"/>
    <pivotField axis="axisRow" compact="0" outline="0" showAll="0" defaultSubtotal="0">
      <items count="26">
        <item m="1" x="16"/>
        <item m="1" x="18"/>
        <item m="1" x="23"/>
        <item m="1" x="19"/>
        <item m="1" x="9"/>
        <item x="2"/>
        <item m="1" x="11"/>
        <item m="1" x="10"/>
        <item m="1" x="7"/>
        <item m="1" x="25"/>
        <item m="1" x="22"/>
        <item m="1" x="8"/>
        <item m="1" x="13"/>
        <item m="1" x="20"/>
        <item m="1" x="14"/>
        <item m="1" x="17"/>
        <item m="1" x="6"/>
        <item m="1" x="15"/>
        <item m="1" x="12"/>
        <item m="1" x="5"/>
        <item m="1" x="21"/>
        <item m="1" x="24"/>
        <item m="1" x="3"/>
        <item m="1" x="4"/>
        <item x="0"/>
        <item x="1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Page" compact="0" outline="0" multipleItemSelectionAllowed="1" showAll="0" defaultSubtotal="0">
      <items count="3">
        <item x="0"/>
        <item h="1" m="1" x="2"/>
        <item h="1" x="1"/>
      </items>
    </pivotField>
  </pivotFields>
  <rowFields count="2">
    <field x="0"/>
    <field x="2"/>
  </rowFields>
  <rowItems count="2">
    <i>
      <x/>
      <x v="24"/>
    </i>
    <i>
      <x v="2"/>
      <x v="25"/>
    </i>
  </rowItems>
  <colItems count="1">
    <i/>
  </colItems>
  <pageFields count="1">
    <pageField fld="9" hier="-1"/>
  </pageFields>
  <formats count="1">
    <format dxfId="1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file:///C:\:w:\g\personal\kokoh_handoko_tap-agri_com\EaK4Icwr3YlIrUaLy09T3PgBxW7iAf1jI5L5wiGX_FyzGA%3fe=8b9dKG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Y54"/>
  <sheetViews>
    <sheetView topLeftCell="B7" zoomScaleNormal="100" workbookViewId="0">
      <selection activeCell="D18" sqref="D18:E18"/>
    </sheetView>
  </sheetViews>
  <sheetFormatPr defaultColWidth="9.1796875" defaultRowHeight="14.5" x14ac:dyDescent="0.35"/>
  <cols>
    <col min="1" max="1" width="1.1796875" style="32" customWidth="1"/>
    <col min="2" max="2" width="18.453125" style="32" customWidth="1"/>
    <col min="3" max="3" width="1.7265625" style="32" customWidth="1"/>
    <col min="4" max="5" width="12.1796875" style="32" customWidth="1"/>
    <col min="6" max="6" width="9" style="32" customWidth="1"/>
    <col min="7" max="7" width="12.1796875" style="32" customWidth="1"/>
    <col min="8" max="10" width="9.1796875" style="32"/>
    <col min="11" max="11" width="4.453125" style="32" customWidth="1"/>
    <col min="12" max="16384" width="9.1796875" style="32"/>
  </cols>
  <sheetData>
    <row r="1" spans="1:25" ht="15" thickTop="1" x14ac:dyDescent="0.35">
      <c r="A1" s="53"/>
      <c r="B1" s="55"/>
      <c r="C1" s="55"/>
      <c r="D1" s="55"/>
      <c r="E1" s="55"/>
      <c r="F1" s="55"/>
      <c r="G1" s="55"/>
      <c r="H1" s="55"/>
      <c r="I1" s="55"/>
      <c r="J1" s="55"/>
      <c r="K1" s="56"/>
      <c r="L1" s="53"/>
      <c r="M1" s="55"/>
      <c r="N1" s="55"/>
      <c r="O1" s="55"/>
      <c r="P1" s="55"/>
      <c r="Q1" s="55"/>
      <c r="R1" s="55"/>
      <c r="S1" s="55"/>
      <c r="T1" s="56"/>
      <c r="Y1" s="171" t="s">
        <v>0</v>
      </c>
    </row>
    <row r="2" spans="1:25" ht="19" x14ac:dyDescent="0.4">
      <c r="A2" s="57"/>
      <c r="D2" s="290" t="s">
        <v>1</v>
      </c>
      <c r="E2" s="290"/>
      <c r="F2" s="290"/>
      <c r="G2" s="290"/>
      <c r="H2" s="290"/>
      <c r="I2" s="290"/>
      <c r="J2" s="290"/>
      <c r="K2" s="291"/>
      <c r="L2" s="57"/>
      <c r="N2" s="292" t="s">
        <v>2</v>
      </c>
      <c r="O2" s="292"/>
      <c r="P2" s="292"/>
      <c r="Q2" s="292"/>
      <c r="R2" s="292"/>
      <c r="S2" s="292"/>
      <c r="T2" s="293"/>
      <c r="Y2" s="32" t="s">
        <v>3</v>
      </c>
    </row>
    <row r="3" spans="1:25" ht="18" x14ac:dyDescent="0.4">
      <c r="A3" s="57"/>
      <c r="D3" s="292" t="s">
        <v>4</v>
      </c>
      <c r="E3" s="292"/>
      <c r="F3" s="292"/>
      <c r="G3" s="292"/>
      <c r="H3" s="292"/>
      <c r="I3" s="292"/>
      <c r="J3" s="292"/>
      <c r="K3" s="293"/>
      <c r="L3" s="57"/>
      <c r="O3" s="294">
        <f>D10</f>
        <v>0</v>
      </c>
      <c r="P3" s="294"/>
      <c r="Q3" s="294"/>
      <c r="R3" s="294"/>
      <c r="S3" s="294"/>
      <c r="T3" s="58"/>
    </row>
    <row r="4" spans="1:25" ht="18" x14ac:dyDescent="0.4">
      <c r="A4" s="57"/>
      <c r="D4" s="245"/>
      <c r="E4" s="245"/>
      <c r="F4" s="245"/>
      <c r="G4" s="245"/>
      <c r="H4" s="245"/>
      <c r="I4" s="245"/>
      <c r="J4" s="245"/>
      <c r="K4" s="246"/>
      <c r="L4" s="57"/>
      <c r="O4" s="245"/>
      <c r="P4" s="245"/>
      <c r="Q4" s="245"/>
      <c r="R4" s="245"/>
      <c r="S4" s="245"/>
      <c r="T4" s="58"/>
    </row>
    <row r="5" spans="1:25" ht="9" customHeight="1" x14ac:dyDescent="0.35">
      <c r="A5" s="57"/>
      <c r="K5" s="58"/>
      <c r="L5" s="57"/>
      <c r="T5" s="58"/>
    </row>
    <row r="6" spans="1:25" s="39" customFormat="1" ht="22.15" customHeight="1" x14ac:dyDescent="0.35">
      <c r="A6" s="40"/>
      <c r="B6" s="172" t="s">
        <v>5</v>
      </c>
      <c r="C6" s="39" t="s">
        <v>6</v>
      </c>
      <c r="D6" s="170"/>
      <c r="F6" s="170" t="s">
        <v>338</v>
      </c>
      <c r="G6" s="173" t="s">
        <v>0</v>
      </c>
      <c r="I6" s="168" t="s">
        <v>7</v>
      </c>
      <c r="K6" s="42"/>
      <c r="L6" s="40"/>
      <c r="T6" s="42"/>
    </row>
    <row r="7" spans="1:25" s="39" customFormat="1" ht="4.1500000000000004" customHeight="1" x14ac:dyDescent="0.35">
      <c r="A7" s="40"/>
      <c r="B7" s="172"/>
      <c r="K7" s="42"/>
      <c r="L7" s="40"/>
      <c r="T7" s="42"/>
    </row>
    <row r="8" spans="1:25" s="39" customFormat="1" ht="22.15" customHeight="1" x14ac:dyDescent="0.35">
      <c r="A8" s="40"/>
      <c r="B8" s="174" t="s">
        <v>8</v>
      </c>
      <c r="C8" s="39" t="s">
        <v>6</v>
      </c>
      <c r="D8" s="295"/>
      <c r="E8" s="295"/>
      <c r="F8" s="295"/>
      <c r="G8" s="295"/>
      <c r="H8" s="295"/>
      <c r="I8" s="295"/>
      <c r="J8" s="134"/>
      <c r="K8" s="42"/>
      <c r="L8" s="40"/>
      <c r="T8" s="42"/>
    </row>
    <row r="9" spans="1:25" s="39" customFormat="1" ht="4.1500000000000004" customHeight="1" x14ac:dyDescent="0.35">
      <c r="A9" s="40"/>
      <c r="B9" s="172"/>
      <c r="J9" s="249"/>
      <c r="K9" s="250"/>
      <c r="L9" s="40"/>
      <c r="T9" s="42"/>
    </row>
    <row r="10" spans="1:25" s="39" customFormat="1" ht="22.15" customHeight="1" x14ac:dyDescent="0.35">
      <c r="A10" s="40"/>
      <c r="B10" s="172" t="s">
        <v>9</v>
      </c>
      <c r="C10" s="39" t="s">
        <v>6</v>
      </c>
      <c r="D10" s="175"/>
      <c r="E10" s="175"/>
      <c r="F10" s="175"/>
      <c r="G10" s="175"/>
      <c r="H10" s="175"/>
      <c r="I10" s="175"/>
      <c r="J10" s="175"/>
      <c r="K10" s="176"/>
      <c r="L10" s="40"/>
      <c r="T10" s="42"/>
    </row>
    <row r="11" spans="1:25" s="39" customFormat="1" ht="4.1500000000000004" customHeight="1" x14ac:dyDescent="0.35">
      <c r="A11" s="40"/>
      <c r="B11" s="172"/>
      <c r="K11" s="250"/>
      <c r="L11" s="40"/>
      <c r="T11" s="42"/>
    </row>
    <row r="12" spans="1:25" s="39" customFormat="1" ht="22.15" customHeight="1" x14ac:dyDescent="0.35">
      <c r="A12" s="40"/>
      <c r="B12" s="172" t="s">
        <v>10</v>
      </c>
      <c r="C12" s="39" t="s">
        <v>6</v>
      </c>
      <c r="D12" s="175" t="s">
        <v>339</v>
      </c>
      <c r="E12" s="175"/>
      <c r="F12" s="175"/>
      <c r="G12" s="175"/>
      <c r="H12" s="175"/>
      <c r="I12" s="175"/>
      <c r="J12" s="175"/>
      <c r="K12" s="176"/>
      <c r="L12" s="40"/>
      <c r="T12" s="42"/>
    </row>
    <row r="13" spans="1:25" s="39" customFormat="1" ht="4.1500000000000004" customHeight="1" x14ac:dyDescent="0.35">
      <c r="A13" s="40"/>
      <c r="B13" s="172"/>
      <c r="J13" s="249"/>
      <c r="K13" s="42"/>
      <c r="L13" s="40"/>
      <c r="T13" s="42"/>
    </row>
    <row r="14" spans="1:25" s="39" customFormat="1" ht="22.15" customHeight="1" x14ac:dyDescent="0.35">
      <c r="A14" s="40"/>
      <c r="B14" s="172" t="s">
        <v>11</v>
      </c>
      <c r="C14" s="39" t="s">
        <v>6</v>
      </c>
      <c r="D14" s="259">
        <v>45973</v>
      </c>
      <c r="E14" s="175"/>
      <c r="F14" s="175"/>
      <c r="G14" s="175"/>
      <c r="H14" s="175"/>
      <c r="I14" s="175"/>
      <c r="J14" s="175"/>
      <c r="K14" s="176"/>
      <c r="L14" s="40"/>
      <c r="T14" s="42"/>
    </row>
    <row r="15" spans="1:25" s="39" customFormat="1" ht="4.1500000000000004" customHeight="1" x14ac:dyDescent="0.35">
      <c r="A15" s="40"/>
      <c r="B15" s="172"/>
      <c r="K15" s="42"/>
      <c r="L15" s="40"/>
      <c r="T15" s="42"/>
    </row>
    <row r="16" spans="1:25" s="39" customFormat="1" ht="22.15" customHeight="1" x14ac:dyDescent="0.35">
      <c r="A16" s="40"/>
      <c r="B16" s="172" t="s">
        <v>12</v>
      </c>
      <c r="C16" s="39" t="s">
        <v>6</v>
      </c>
      <c r="D16" s="296" t="s">
        <v>341</v>
      </c>
      <c r="E16" s="296"/>
      <c r="F16" s="296"/>
      <c r="G16" s="296"/>
      <c r="H16" s="175"/>
      <c r="I16" s="175" t="s">
        <v>13</v>
      </c>
      <c r="J16" s="175">
        <v>1</v>
      </c>
      <c r="K16" s="176"/>
      <c r="L16" s="40"/>
      <c r="T16" s="42"/>
    </row>
    <row r="17" spans="1:20" s="39" customFormat="1" ht="4.1500000000000004" customHeight="1" x14ac:dyDescent="0.35">
      <c r="A17" s="40"/>
      <c r="B17" s="172"/>
      <c r="K17" s="42"/>
      <c r="L17" s="40"/>
      <c r="T17" s="42"/>
    </row>
    <row r="18" spans="1:20" s="39" customFormat="1" ht="22.15" customHeight="1" x14ac:dyDescent="0.35">
      <c r="A18" s="40"/>
      <c r="B18" s="172" t="s">
        <v>14</v>
      </c>
      <c r="C18" s="39" t="s">
        <v>6</v>
      </c>
      <c r="D18" s="287" t="s">
        <v>347</v>
      </c>
      <c r="E18" s="288"/>
      <c r="F18" s="247" t="s">
        <v>16</v>
      </c>
      <c r="G18" s="248" t="s">
        <v>346</v>
      </c>
      <c r="H18" s="148" t="s">
        <v>17</v>
      </c>
      <c r="I18" s="287" t="s">
        <v>18</v>
      </c>
      <c r="J18" s="288"/>
      <c r="K18" s="289"/>
      <c r="L18" s="40"/>
      <c r="T18" s="42"/>
    </row>
    <row r="19" spans="1:20" s="39" customFormat="1" ht="4.1500000000000004" customHeight="1" x14ac:dyDescent="0.35">
      <c r="A19" s="40"/>
      <c r="B19" s="172"/>
      <c r="D19" s="287"/>
      <c r="E19" s="288"/>
      <c r="F19" s="288"/>
      <c r="G19" s="297"/>
      <c r="H19" s="148"/>
      <c r="I19" s="287"/>
      <c r="J19" s="288"/>
      <c r="K19" s="289"/>
      <c r="L19" s="40"/>
      <c r="T19" s="42"/>
    </row>
    <row r="20" spans="1:20" s="39" customFormat="1" ht="22.15" customHeight="1" x14ac:dyDescent="0.35">
      <c r="A20" s="40"/>
      <c r="B20" s="172" t="s">
        <v>19</v>
      </c>
      <c r="C20" s="39" t="s">
        <v>6</v>
      </c>
      <c r="D20" s="287" t="s">
        <v>340</v>
      </c>
      <c r="E20" s="288"/>
      <c r="F20" s="247" t="s">
        <v>16</v>
      </c>
      <c r="G20" s="248" t="s">
        <v>345</v>
      </c>
      <c r="H20" s="148" t="s">
        <v>17</v>
      </c>
      <c r="I20" s="287" t="s">
        <v>18</v>
      </c>
      <c r="J20" s="288"/>
      <c r="K20" s="289"/>
      <c r="L20" s="40"/>
      <c r="T20" s="42"/>
    </row>
    <row r="21" spans="1:20" s="39" customFormat="1" ht="4.1500000000000004" customHeight="1" x14ac:dyDescent="0.35">
      <c r="A21" s="40"/>
      <c r="B21" s="172"/>
      <c r="D21" s="287"/>
      <c r="E21" s="288"/>
      <c r="F21" s="288"/>
      <c r="G21" s="297"/>
      <c r="H21" s="148"/>
      <c r="I21" s="287"/>
      <c r="J21" s="288"/>
      <c r="K21" s="289"/>
      <c r="L21" s="40"/>
      <c r="T21" s="42"/>
    </row>
    <row r="22" spans="1:20" s="39" customFormat="1" ht="22.15" customHeight="1" x14ac:dyDescent="0.35">
      <c r="A22" s="40"/>
      <c r="B22" s="172" t="s">
        <v>21</v>
      </c>
      <c r="C22" s="39" t="s">
        <v>6</v>
      </c>
      <c r="D22" s="287" t="s">
        <v>342</v>
      </c>
      <c r="E22" s="288"/>
      <c r="F22" s="247" t="s">
        <v>16</v>
      </c>
      <c r="G22" s="248" t="s">
        <v>344</v>
      </c>
      <c r="H22" s="148" t="s">
        <v>17</v>
      </c>
      <c r="I22" s="287" t="s">
        <v>18</v>
      </c>
      <c r="J22" s="288"/>
      <c r="K22" s="289"/>
      <c r="L22" s="40"/>
      <c r="T22" s="42"/>
    </row>
    <row r="23" spans="1:20" s="39" customFormat="1" ht="4.1500000000000004" customHeight="1" x14ac:dyDescent="0.35">
      <c r="A23" s="40"/>
      <c r="B23" s="172"/>
      <c r="D23" s="298"/>
      <c r="E23" s="299"/>
      <c r="F23" s="299"/>
      <c r="G23" s="300"/>
      <c r="H23" s="252"/>
      <c r="I23" s="298"/>
      <c r="J23" s="299"/>
      <c r="K23" s="301"/>
      <c r="L23" s="40"/>
      <c r="T23" s="42"/>
    </row>
    <row r="24" spans="1:20" s="39" customFormat="1" ht="22.15" customHeight="1" x14ac:dyDescent="0.35">
      <c r="A24" s="40"/>
      <c r="B24" s="172" t="s">
        <v>23</v>
      </c>
      <c r="C24" s="39" t="s">
        <v>6</v>
      </c>
      <c r="D24" s="287" t="s">
        <v>182</v>
      </c>
      <c r="E24" s="288"/>
      <c r="F24" s="247" t="s">
        <v>16</v>
      </c>
      <c r="G24" s="248" t="s">
        <v>343</v>
      </c>
      <c r="H24" s="148" t="s">
        <v>17</v>
      </c>
      <c r="I24" s="287" t="s">
        <v>18</v>
      </c>
      <c r="J24" s="288"/>
      <c r="K24" s="289"/>
      <c r="T24" s="42"/>
    </row>
    <row r="25" spans="1:20" s="39" customFormat="1" ht="4.1500000000000004" customHeight="1" x14ac:dyDescent="0.35">
      <c r="A25" s="40"/>
      <c r="B25" s="172"/>
      <c r="K25" s="42"/>
      <c r="L25" s="40"/>
      <c r="T25" s="42"/>
    </row>
    <row r="26" spans="1:20" s="39" customFormat="1" ht="22.15" customHeight="1" x14ac:dyDescent="0.35">
      <c r="A26" s="40"/>
      <c r="B26" s="172" t="s">
        <v>25</v>
      </c>
      <c r="D26" s="177"/>
      <c r="K26" s="42"/>
      <c r="L26" s="40"/>
      <c r="T26" s="42"/>
    </row>
    <row r="27" spans="1:20" s="39" customFormat="1" ht="22.15" customHeight="1" x14ac:dyDescent="0.35">
      <c r="A27" s="40"/>
      <c r="B27" s="178" t="s">
        <v>26</v>
      </c>
      <c r="C27" s="39" t="s">
        <v>6</v>
      </c>
      <c r="D27" s="287" t="s">
        <v>348</v>
      </c>
      <c r="E27" s="288"/>
      <c r="F27" s="247" t="s">
        <v>16</v>
      </c>
      <c r="G27" s="248"/>
      <c r="H27" s="148" t="s">
        <v>17</v>
      </c>
      <c r="I27" s="287" t="s">
        <v>18</v>
      </c>
      <c r="J27" s="288"/>
      <c r="K27" s="289"/>
      <c r="L27" s="40"/>
      <c r="T27" s="42"/>
    </row>
    <row r="28" spans="1:20" s="39" customFormat="1" ht="4.1500000000000004" customHeight="1" x14ac:dyDescent="0.35">
      <c r="A28" s="40"/>
      <c r="B28" s="179"/>
      <c r="D28" s="302"/>
      <c r="E28" s="303"/>
      <c r="F28" s="303"/>
      <c r="G28" s="304"/>
      <c r="H28" s="148"/>
      <c r="I28" s="287"/>
      <c r="J28" s="288"/>
      <c r="K28" s="289"/>
      <c r="L28" s="40"/>
      <c r="T28" s="42"/>
    </row>
    <row r="29" spans="1:20" s="39" customFormat="1" ht="22.15" customHeight="1" x14ac:dyDescent="0.35">
      <c r="A29" s="40"/>
      <c r="B29" s="178" t="s">
        <v>27</v>
      </c>
      <c r="C29" s="39" t="s">
        <v>6</v>
      </c>
      <c r="D29" s="287" t="s">
        <v>350</v>
      </c>
      <c r="E29" s="288"/>
      <c r="F29" s="247" t="s">
        <v>16</v>
      </c>
      <c r="G29" s="248"/>
      <c r="H29" s="148" t="s">
        <v>17</v>
      </c>
      <c r="I29" s="287" t="s">
        <v>18</v>
      </c>
      <c r="J29" s="288"/>
      <c r="K29" s="289"/>
      <c r="L29" s="40"/>
      <c r="T29" s="42"/>
    </row>
    <row r="30" spans="1:20" s="39" customFormat="1" ht="4.1500000000000004" customHeight="1" x14ac:dyDescent="0.35">
      <c r="A30" s="40"/>
      <c r="B30" s="180"/>
      <c r="D30" s="302"/>
      <c r="E30" s="303"/>
      <c r="F30" s="303"/>
      <c r="G30" s="304"/>
      <c r="H30" s="148"/>
      <c r="I30" s="287"/>
      <c r="J30" s="288"/>
      <c r="K30" s="289"/>
      <c r="L30" s="40"/>
      <c r="T30" s="42"/>
    </row>
    <row r="31" spans="1:20" s="39" customFormat="1" ht="22.15" customHeight="1" x14ac:dyDescent="0.35">
      <c r="A31" s="40"/>
      <c r="B31" s="178" t="s">
        <v>28</v>
      </c>
      <c r="C31" s="39" t="s">
        <v>6</v>
      </c>
      <c r="D31" s="287" t="s">
        <v>349</v>
      </c>
      <c r="E31" s="288"/>
      <c r="F31" s="247" t="s">
        <v>16</v>
      </c>
      <c r="G31" s="248"/>
      <c r="H31" s="148" t="s">
        <v>17</v>
      </c>
      <c r="I31" s="287" t="s">
        <v>18</v>
      </c>
      <c r="J31" s="288"/>
      <c r="K31" s="289"/>
      <c r="L31" s="40"/>
      <c r="T31" s="42"/>
    </row>
    <row r="32" spans="1:20" s="39" customFormat="1" ht="4.1500000000000004" customHeight="1" x14ac:dyDescent="0.35">
      <c r="A32" s="40"/>
      <c r="B32" s="180"/>
      <c r="D32" s="287"/>
      <c r="E32" s="288"/>
      <c r="F32" s="288"/>
      <c r="G32" s="297"/>
      <c r="H32" s="148"/>
      <c r="I32" s="287"/>
      <c r="J32" s="288"/>
      <c r="K32" s="289"/>
      <c r="L32" s="40"/>
      <c r="T32" s="42"/>
    </row>
    <row r="33" spans="1:20" s="39" customFormat="1" ht="22.15" customHeight="1" x14ac:dyDescent="0.35">
      <c r="A33" s="40"/>
      <c r="B33" s="178" t="s">
        <v>29</v>
      </c>
      <c r="D33" s="287" t="s">
        <v>24</v>
      </c>
      <c r="E33" s="288"/>
      <c r="F33" s="247" t="s">
        <v>16</v>
      </c>
      <c r="G33" s="248"/>
      <c r="H33" s="148" t="s">
        <v>17</v>
      </c>
      <c r="I33" s="287" t="s">
        <v>18</v>
      </c>
      <c r="J33" s="288"/>
      <c r="K33" s="289"/>
      <c r="L33" s="40"/>
      <c r="T33" s="42"/>
    </row>
    <row r="34" spans="1:20" s="39" customFormat="1" ht="4.1500000000000004" customHeight="1" x14ac:dyDescent="0.35">
      <c r="A34" s="40"/>
      <c r="B34" s="180"/>
      <c r="D34" s="287"/>
      <c r="E34" s="288"/>
      <c r="F34" s="288"/>
      <c r="G34" s="297"/>
      <c r="H34" s="148"/>
      <c r="I34" s="287"/>
      <c r="J34" s="288"/>
      <c r="K34" s="289"/>
      <c r="L34" s="40"/>
      <c r="T34" s="42"/>
    </row>
    <row r="35" spans="1:20" s="39" customFormat="1" ht="22.15" customHeight="1" x14ac:dyDescent="0.35">
      <c r="A35" s="40"/>
      <c r="B35" s="178" t="s">
        <v>30</v>
      </c>
      <c r="D35" s="287" t="s">
        <v>31</v>
      </c>
      <c r="E35" s="288"/>
      <c r="F35" s="247" t="s">
        <v>16</v>
      </c>
      <c r="G35" s="248"/>
      <c r="H35" s="148" t="s">
        <v>17</v>
      </c>
      <c r="I35" s="287" t="s">
        <v>18</v>
      </c>
      <c r="J35" s="288"/>
      <c r="K35" s="289"/>
      <c r="L35" s="40"/>
      <c r="T35" s="42"/>
    </row>
    <row r="36" spans="1:20" s="39" customFormat="1" ht="4.1500000000000004" customHeight="1" x14ac:dyDescent="0.35">
      <c r="A36" s="40"/>
      <c r="B36" s="180"/>
      <c r="D36" s="287"/>
      <c r="E36" s="288"/>
      <c r="F36" s="288"/>
      <c r="G36" s="297"/>
      <c r="H36" s="148"/>
      <c r="I36" s="287"/>
      <c r="J36" s="288"/>
      <c r="K36" s="289"/>
      <c r="L36" s="40"/>
      <c r="T36" s="42"/>
    </row>
    <row r="37" spans="1:20" s="39" customFormat="1" ht="22.15" customHeight="1" x14ac:dyDescent="0.35">
      <c r="A37" s="40"/>
      <c r="B37" s="178" t="s">
        <v>32</v>
      </c>
      <c r="D37" s="287" t="s">
        <v>33</v>
      </c>
      <c r="E37" s="288"/>
      <c r="F37" s="247" t="s">
        <v>16</v>
      </c>
      <c r="G37" s="248"/>
      <c r="H37" s="148" t="s">
        <v>17</v>
      </c>
      <c r="I37" s="287" t="s">
        <v>18</v>
      </c>
      <c r="J37" s="288"/>
      <c r="K37" s="289"/>
      <c r="L37" s="40"/>
      <c r="T37" s="42"/>
    </row>
    <row r="38" spans="1:20" s="39" customFormat="1" ht="4.1500000000000004" customHeight="1" x14ac:dyDescent="0.35">
      <c r="A38" s="40"/>
      <c r="B38" s="180"/>
      <c r="D38" s="287"/>
      <c r="E38" s="288"/>
      <c r="F38" s="288"/>
      <c r="G38" s="297"/>
      <c r="H38" s="148"/>
      <c r="I38" s="287"/>
      <c r="J38" s="288"/>
      <c r="K38" s="289"/>
      <c r="L38" s="40"/>
      <c r="T38" s="42"/>
    </row>
    <row r="39" spans="1:20" s="39" customFormat="1" ht="22.15" hidden="1" customHeight="1" x14ac:dyDescent="0.35">
      <c r="A39" s="40"/>
      <c r="B39" s="178"/>
      <c r="D39" s="305"/>
      <c r="E39" s="305"/>
      <c r="F39" s="305"/>
      <c r="G39" s="305"/>
      <c r="H39" s="244"/>
      <c r="I39" s="305"/>
      <c r="J39" s="305"/>
      <c r="K39" s="306"/>
      <c r="L39" s="40"/>
      <c r="T39" s="42"/>
    </row>
    <row r="40" spans="1:20" s="39" customFormat="1" ht="4.1500000000000004" customHeight="1" x14ac:dyDescent="0.35">
      <c r="A40" s="40"/>
      <c r="D40" s="177"/>
      <c r="K40" s="42"/>
      <c r="L40" s="40"/>
      <c r="T40" s="42"/>
    </row>
    <row r="41" spans="1:20" s="39" customFormat="1" ht="12.75" customHeight="1" x14ac:dyDescent="0.35">
      <c r="A41" s="40"/>
      <c r="B41" s="172" t="s">
        <v>34</v>
      </c>
      <c r="C41" s="39" t="s">
        <v>6</v>
      </c>
      <c r="K41" s="42"/>
      <c r="L41" s="40"/>
      <c r="T41" s="42"/>
    </row>
    <row r="42" spans="1:20" s="39" customFormat="1" ht="22.15" customHeight="1" x14ac:dyDescent="0.35">
      <c r="A42" s="40"/>
      <c r="B42" s="39" t="s">
        <v>35</v>
      </c>
      <c r="C42" s="39" t="s">
        <v>6</v>
      </c>
      <c r="K42" s="42"/>
      <c r="L42" s="40"/>
      <c r="T42" s="42"/>
    </row>
    <row r="43" spans="1:20" s="39" customFormat="1" ht="22.15" customHeight="1" x14ac:dyDescent="0.35">
      <c r="A43" s="40"/>
      <c r="B43" s="39" t="s">
        <v>36</v>
      </c>
      <c r="C43" s="39" t="s">
        <v>6</v>
      </c>
      <c r="K43" s="42"/>
      <c r="L43" s="40"/>
      <c r="T43" s="42"/>
    </row>
    <row r="44" spans="1:20" s="39" customFormat="1" ht="22.15" customHeight="1" x14ac:dyDescent="0.35">
      <c r="A44" s="40"/>
      <c r="B44" s="39" t="s">
        <v>37</v>
      </c>
      <c r="C44" s="39" t="s">
        <v>6</v>
      </c>
      <c r="K44" s="42"/>
      <c r="L44" s="40"/>
      <c r="T44" s="42"/>
    </row>
    <row r="45" spans="1:20" s="39" customFormat="1" ht="18.75" customHeight="1" x14ac:dyDescent="0.35">
      <c r="A45" s="40"/>
      <c r="B45" s="39" t="s">
        <v>38</v>
      </c>
      <c r="C45" s="39" t="s">
        <v>6</v>
      </c>
      <c r="K45" s="42"/>
      <c r="L45" s="47" t="s">
        <v>39</v>
      </c>
      <c r="T45" s="42"/>
    </row>
    <row r="46" spans="1:20" s="39" customFormat="1" ht="18" customHeight="1" x14ac:dyDescent="0.35">
      <c r="A46" s="40"/>
      <c r="B46" s="39" t="s">
        <v>40</v>
      </c>
      <c r="C46" s="39" t="s">
        <v>6</v>
      </c>
      <c r="K46" s="42"/>
      <c r="L46" s="40"/>
      <c r="T46" s="42"/>
    </row>
    <row r="47" spans="1:20" s="39" customFormat="1" ht="18" customHeight="1" x14ac:dyDescent="0.35">
      <c r="A47" s="40"/>
      <c r="C47" s="181"/>
      <c r="D47" s="175"/>
      <c r="E47" s="175"/>
      <c r="F47" s="175"/>
      <c r="G47" s="168" t="s">
        <v>41</v>
      </c>
      <c r="K47" s="42"/>
      <c r="L47" s="40"/>
      <c r="T47" s="42"/>
    </row>
    <row r="48" spans="1:20" s="39" customFormat="1" ht="22.15" customHeight="1" x14ac:dyDescent="0.35">
      <c r="A48" s="40"/>
      <c r="B48" s="182"/>
      <c r="K48" s="42"/>
      <c r="L48" s="40"/>
      <c r="T48" s="42"/>
    </row>
    <row r="49" spans="1:20" s="39" customFormat="1" ht="22.15" customHeight="1" x14ac:dyDescent="0.35">
      <c r="A49" s="40"/>
      <c r="K49" s="42"/>
      <c r="L49" s="40"/>
      <c r="T49" s="42"/>
    </row>
    <row r="50" spans="1:20" s="39" customFormat="1" ht="22.15" customHeight="1" x14ac:dyDescent="0.35">
      <c r="A50" s="40"/>
      <c r="K50" s="42"/>
      <c r="L50" s="40"/>
      <c r="T50" s="42"/>
    </row>
    <row r="51" spans="1:20" s="39" customFormat="1" ht="22.15" customHeight="1" x14ac:dyDescent="0.35">
      <c r="A51" s="40"/>
      <c r="K51" s="42"/>
      <c r="L51" s="40"/>
      <c r="T51" s="42"/>
    </row>
    <row r="52" spans="1:20" s="39" customFormat="1" ht="21.75" customHeight="1" thickBot="1" x14ac:dyDescent="0.4">
      <c r="A52" s="48"/>
      <c r="B52" s="49"/>
      <c r="C52" s="49"/>
      <c r="D52" s="49"/>
      <c r="E52" s="49"/>
      <c r="F52" s="49"/>
      <c r="G52" s="49"/>
      <c r="H52" s="49"/>
      <c r="I52" s="49"/>
      <c r="J52" s="49"/>
      <c r="K52" s="50"/>
      <c r="L52" s="48"/>
      <c r="M52" s="49"/>
      <c r="N52" s="49"/>
      <c r="O52" s="49"/>
      <c r="P52" s="49"/>
      <c r="Q52" s="49"/>
      <c r="R52" s="49"/>
      <c r="S52" s="49"/>
      <c r="T52" s="50"/>
    </row>
    <row r="53" spans="1:20" ht="9.75" hidden="1" customHeight="1" x14ac:dyDescent="0.35">
      <c r="A53" s="86"/>
      <c r="B53" s="87"/>
      <c r="C53" s="87"/>
      <c r="D53" s="87"/>
      <c r="E53" s="87"/>
      <c r="F53" s="87"/>
      <c r="G53" s="87"/>
      <c r="H53" s="87"/>
      <c r="I53" s="87"/>
      <c r="J53" s="87"/>
      <c r="K53" s="183"/>
      <c r="L53" s="184"/>
      <c r="M53" s="87"/>
      <c r="N53" s="87"/>
      <c r="O53" s="87"/>
      <c r="P53" s="87"/>
      <c r="Q53" s="87"/>
      <c r="R53" s="87"/>
      <c r="S53" s="87"/>
      <c r="T53" s="88"/>
    </row>
    <row r="54" spans="1:20" ht="15" thickTop="1" x14ac:dyDescent="0.35"/>
  </sheetData>
  <mergeCells count="46">
    <mergeCell ref="D39:G39"/>
    <mergeCell ref="I39:K39"/>
    <mergeCell ref="D36:G36"/>
    <mergeCell ref="I36:K36"/>
    <mergeCell ref="D37:E37"/>
    <mergeCell ref="I37:K37"/>
    <mergeCell ref="D38:G38"/>
    <mergeCell ref="I38:K38"/>
    <mergeCell ref="D33:E33"/>
    <mergeCell ref="I33:K33"/>
    <mergeCell ref="D34:G34"/>
    <mergeCell ref="I34:K34"/>
    <mergeCell ref="D35:E35"/>
    <mergeCell ref="I35:K35"/>
    <mergeCell ref="D30:G30"/>
    <mergeCell ref="I30:K30"/>
    <mergeCell ref="D31:E31"/>
    <mergeCell ref="I31:K31"/>
    <mergeCell ref="D32:G32"/>
    <mergeCell ref="I32:K32"/>
    <mergeCell ref="D27:E27"/>
    <mergeCell ref="I27:K27"/>
    <mergeCell ref="D28:G28"/>
    <mergeCell ref="I28:K28"/>
    <mergeCell ref="D29:E29"/>
    <mergeCell ref="I29:K29"/>
    <mergeCell ref="D22:E22"/>
    <mergeCell ref="I22:K22"/>
    <mergeCell ref="D23:G23"/>
    <mergeCell ref="I23:K23"/>
    <mergeCell ref="D24:E24"/>
    <mergeCell ref="I24:K24"/>
    <mergeCell ref="D19:G19"/>
    <mergeCell ref="I19:K19"/>
    <mergeCell ref="D20:E20"/>
    <mergeCell ref="I20:K20"/>
    <mergeCell ref="D21:G21"/>
    <mergeCell ref="I21:K21"/>
    <mergeCell ref="D18:E18"/>
    <mergeCell ref="I18:K18"/>
    <mergeCell ref="D2:K2"/>
    <mergeCell ref="N2:T2"/>
    <mergeCell ref="D3:K3"/>
    <mergeCell ref="O3:S3"/>
    <mergeCell ref="D8:I8"/>
    <mergeCell ref="D16:G16"/>
  </mergeCells>
  <dataValidations count="1">
    <dataValidation type="list" allowBlank="1" showInputMessage="1" showErrorMessage="1" sqref="G6 E6">
      <formula1>$Y$1:$Y$2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Y54"/>
  <sheetViews>
    <sheetView topLeftCell="C4" zoomScaleNormal="100" workbookViewId="0">
      <selection activeCell="T37" sqref="T37"/>
    </sheetView>
  </sheetViews>
  <sheetFormatPr defaultColWidth="9.1796875" defaultRowHeight="14.5" x14ac:dyDescent="0.35"/>
  <cols>
    <col min="1" max="1" width="1.1796875" style="32" customWidth="1"/>
    <col min="2" max="2" width="18.453125" style="32" customWidth="1"/>
    <col min="3" max="3" width="1.7265625" style="32" customWidth="1"/>
    <col min="4" max="5" width="12.1796875" style="32" customWidth="1"/>
    <col min="6" max="6" width="9" style="32" customWidth="1"/>
    <col min="7" max="7" width="12.1796875" style="32" customWidth="1"/>
    <col min="8" max="10" width="9.1796875" style="32"/>
    <col min="11" max="11" width="4.453125" style="32" customWidth="1"/>
    <col min="12" max="16384" width="9.1796875" style="32"/>
  </cols>
  <sheetData>
    <row r="1" spans="1:25" ht="15" thickTop="1" x14ac:dyDescent="0.35">
      <c r="A1" s="53"/>
      <c r="B1" s="55"/>
      <c r="C1" s="55"/>
      <c r="D1" s="55"/>
      <c r="E1" s="55"/>
      <c r="F1" s="55"/>
      <c r="G1" s="55"/>
      <c r="H1" s="55"/>
      <c r="I1" s="55"/>
      <c r="J1" s="55"/>
      <c r="K1" s="56"/>
      <c r="L1" s="53"/>
      <c r="M1" s="55"/>
      <c r="N1" s="55"/>
      <c r="O1" s="55"/>
      <c r="P1" s="55"/>
      <c r="Q1" s="55"/>
      <c r="R1" s="55"/>
      <c r="S1" s="55"/>
      <c r="T1" s="56"/>
      <c r="Y1" s="171" t="s">
        <v>0</v>
      </c>
    </row>
    <row r="2" spans="1:25" ht="19" x14ac:dyDescent="0.4">
      <c r="A2" s="57"/>
      <c r="D2" s="290" t="s">
        <v>42</v>
      </c>
      <c r="E2" s="290"/>
      <c r="F2" s="290"/>
      <c r="G2" s="290"/>
      <c r="H2" s="290"/>
      <c r="I2" s="290"/>
      <c r="J2" s="290"/>
      <c r="K2" s="291"/>
      <c r="L2" s="57"/>
      <c r="N2" s="292" t="s">
        <v>43</v>
      </c>
      <c r="O2" s="292"/>
      <c r="P2" s="292"/>
      <c r="Q2" s="292"/>
      <c r="R2" s="292"/>
      <c r="S2" s="292"/>
      <c r="T2" s="293"/>
      <c r="Y2" s="32" t="s">
        <v>3</v>
      </c>
    </row>
    <row r="3" spans="1:25" ht="18" x14ac:dyDescent="0.4">
      <c r="A3" s="57"/>
      <c r="D3" s="292" t="s">
        <v>4</v>
      </c>
      <c r="E3" s="292"/>
      <c r="F3" s="292"/>
      <c r="G3" s="292"/>
      <c r="H3" s="292"/>
      <c r="I3" s="292"/>
      <c r="J3" s="292"/>
      <c r="K3" s="293"/>
      <c r="L3" s="57"/>
      <c r="O3" s="294" t="str">
        <f>D10</f>
        <v>Survey HO &amp; Marketing</v>
      </c>
      <c r="P3" s="294"/>
      <c r="Q3" s="294"/>
      <c r="R3" s="294"/>
      <c r="S3" s="294"/>
      <c r="T3" s="58"/>
    </row>
    <row r="4" spans="1:25" ht="18" x14ac:dyDescent="0.4">
      <c r="A4" s="57"/>
      <c r="D4" s="245"/>
      <c r="E4" s="245"/>
      <c r="F4" s="245"/>
      <c r="G4" s="245"/>
      <c r="H4" s="245"/>
      <c r="I4" s="245"/>
      <c r="J4" s="245"/>
      <c r="K4" s="246"/>
      <c r="L4" s="57"/>
      <c r="O4" s="245"/>
      <c r="P4" s="245"/>
      <c r="Q4" s="245"/>
      <c r="R4" s="245"/>
      <c r="S4" s="245"/>
      <c r="T4" s="58"/>
    </row>
    <row r="5" spans="1:25" ht="9" customHeight="1" x14ac:dyDescent="0.35">
      <c r="A5" s="57"/>
      <c r="K5" s="58"/>
      <c r="L5" s="57"/>
      <c r="T5" s="58"/>
    </row>
    <row r="6" spans="1:25" s="39" customFormat="1" ht="22.15" customHeight="1" x14ac:dyDescent="0.35">
      <c r="A6" s="40"/>
      <c r="B6" s="172" t="s">
        <v>5</v>
      </c>
      <c r="C6" s="39" t="s">
        <v>6</v>
      </c>
      <c r="D6" s="305" t="s">
        <v>354</v>
      </c>
      <c r="E6" s="305"/>
      <c r="F6" s="170" t="s">
        <v>44</v>
      </c>
      <c r="G6" s="173" t="s">
        <v>0</v>
      </c>
      <c r="I6" s="168" t="s">
        <v>7</v>
      </c>
      <c r="K6" s="42"/>
      <c r="L6" s="40"/>
      <c r="T6" s="42"/>
    </row>
    <row r="7" spans="1:25" s="39" customFormat="1" ht="4.1500000000000004" customHeight="1" x14ac:dyDescent="0.35">
      <c r="A7" s="40"/>
      <c r="B7" s="172"/>
      <c r="K7" s="42"/>
      <c r="L7" s="40"/>
      <c r="T7" s="42"/>
    </row>
    <row r="8" spans="1:25" s="39" customFormat="1" ht="22.15" customHeight="1" x14ac:dyDescent="0.35">
      <c r="A8" s="40"/>
      <c r="B8" s="174" t="s">
        <v>8</v>
      </c>
      <c r="C8" s="39" t="s">
        <v>6</v>
      </c>
      <c r="D8" s="295" t="s">
        <v>352</v>
      </c>
      <c r="E8" s="295"/>
      <c r="F8" s="295"/>
      <c r="G8" s="295"/>
      <c r="H8" s="295"/>
      <c r="I8" s="295"/>
      <c r="J8" s="134"/>
      <c r="K8" s="42"/>
      <c r="L8" s="40"/>
      <c r="T8" s="42"/>
    </row>
    <row r="9" spans="1:25" s="39" customFormat="1" ht="4.1500000000000004" customHeight="1" x14ac:dyDescent="0.35">
      <c r="A9" s="40"/>
      <c r="B9" s="172"/>
      <c r="J9" s="249"/>
      <c r="K9" s="250"/>
      <c r="L9" s="40"/>
      <c r="T9" s="42"/>
    </row>
    <row r="10" spans="1:25" s="39" customFormat="1" ht="22.15" customHeight="1" x14ac:dyDescent="0.35">
      <c r="A10" s="40"/>
      <c r="B10" s="172" t="s">
        <v>9</v>
      </c>
      <c r="C10" s="39" t="s">
        <v>6</v>
      </c>
      <c r="D10" s="175" t="s">
        <v>374</v>
      </c>
      <c r="E10" s="175"/>
      <c r="F10" s="175"/>
      <c r="G10" s="175"/>
      <c r="H10" s="175"/>
      <c r="I10" s="175"/>
      <c r="J10" s="175"/>
      <c r="K10" s="176"/>
      <c r="L10" s="40"/>
      <c r="T10" s="42"/>
    </row>
    <row r="11" spans="1:25" s="39" customFormat="1" ht="4.1500000000000004" customHeight="1" x14ac:dyDescent="0.35">
      <c r="A11" s="40"/>
      <c r="B11" s="172"/>
      <c r="K11" s="250"/>
      <c r="L11" s="40"/>
      <c r="T11" s="42"/>
    </row>
    <row r="12" spans="1:25" s="39" customFormat="1" ht="22.15" customHeight="1" x14ac:dyDescent="0.35">
      <c r="A12" s="40"/>
      <c r="B12" s="172" t="s">
        <v>10</v>
      </c>
      <c r="C12" s="39" t="s">
        <v>6</v>
      </c>
      <c r="D12" s="175"/>
      <c r="E12" s="175"/>
      <c r="F12" s="175"/>
      <c r="G12" s="175"/>
      <c r="H12" s="175"/>
      <c r="I12" s="175"/>
      <c r="J12" s="175"/>
      <c r="K12" s="176"/>
      <c r="L12" s="40"/>
      <c r="T12" s="42"/>
    </row>
    <row r="13" spans="1:25" s="39" customFormat="1" ht="4.1500000000000004" customHeight="1" x14ac:dyDescent="0.35">
      <c r="A13" s="40"/>
      <c r="B13" s="172"/>
      <c r="J13" s="249"/>
      <c r="K13" s="42"/>
      <c r="L13" s="40"/>
      <c r="T13" s="42"/>
    </row>
    <row r="14" spans="1:25" s="39" customFormat="1" ht="22.15" customHeight="1" x14ac:dyDescent="0.35">
      <c r="A14" s="40"/>
      <c r="B14" s="172" t="s">
        <v>11</v>
      </c>
      <c r="C14" s="39" t="s">
        <v>6</v>
      </c>
      <c r="D14" s="259">
        <v>45978</v>
      </c>
      <c r="E14" s="175"/>
      <c r="F14" s="175"/>
      <c r="G14" s="175"/>
      <c r="H14" s="175"/>
      <c r="I14" s="175"/>
      <c r="J14" s="175"/>
      <c r="K14" s="176"/>
      <c r="L14" s="40"/>
      <c r="T14" s="42"/>
    </row>
    <row r="15" spans="1:25" s="39" customFormat="1" ht="4.1500000000000004" customHeight="1" x14ac:dyDescent="0.35">
      <c r="A15" s="40"/>
      <c r="B15" s="172"/>
      <c r="K15" s="42"/>
      <c r="L15" s="40"/>
      <c r="T15" s="42"/>
    </row>
    <row r="16" spans="1:25" s="39" customFormat="1" ht="22.15" customHeight="1" x14ac:dyDescent="0.35">
      <c r="A16" s="40"/>
      <c r="B16" s="172" t="s">
        <v>12</v>
      </c>
      <c r="C16" s="39" t="s">
        <v>6</v>
      </c>
      <c r="D16" s="274">
        <v>1</v>
      </c>
      <c r="E16" s="175"/>
      <c r="F16" s="175"/>
      <c r="G16" s="175"/>
      <c r="H16" s="175"/>
      <c r="I16" s="175" t="s">
        <v>13</v>
      </c>
      <c r="J16" s="175"/>
      <c r="K16" s="176"/>
      <c r="L16" s="40"/>
      <c r="T16" s="42"/>
    </row>
    <row r="17" spans="1:20" s="39" customFormat="1" ht="4.1500000000000004" customHeight="1" x14ac:dyDescent="0.35">
      <c r="A17" s="40"/>
      <c r="B17" s="172"/>
      <c r="K17" s="42"/>
      <c r="L17" s="40"/>
      <c r="T17" s="42"/>
    </row>
    <row r="18" spans="1:20" s="39" customFormat="1" ht="22.15" customHeight="1" x14ac:dyDescent="0.35">
      <c r="A18" s="40"/>
      <c r="B18" s="172" t="s">
        <v>14</v>
      </c>
      <c r="C18" s="39" t="s">
        <v>6</v>
      </c>
      <c r="D18" s="287" t="s">
        <v>353</v>
      </c>
      <c r="E18" s="288"/>
      <c r="F18" s="247" t="s">
        <v>16</v>
      </c>
      <c r="G18" s="248" t="s">
        <v>366</v>
      </c>
      <c r="H18" s="148" t="s">
        <v>17</v>
      </c>
      <c r="I18" s="307" t="s">
        <v>370</v>
      </c>
      <c r="J18" s="288"/>
      <c r="K18" s="289"/>
      <c r="L18" s="40"/>
      <c r="T18" s="42"/>
    </row>
    <row r="19" spans="1:20" s="39" customFormat="1" ht="4.1500000000000004" customHeight="1" x14ac:dyDescent="0.35">
      <c r="A19" s="40"/>
      <c r="B19" s="172"/>
      <c r="D19" s="287"/>
      <c r="E19" s="288"/>
      <c r="F19" s="288"/>
      <c r="G19" s="297"/>
      <c r="H19" s="148"/>
      <c r="I19" s="287"/>
      <c r="J19" s="288"/>
      <c r="K19" s="289"/>
      <c r="L19" s="40"/>
      <c r="T19" s="42"/>
    </row>
    <row r="20" spans="1:20" s="39" customFormat="1" ht="22.15" customHeight="1" x14ac:dyDescent="0.35">
      <c r="A20" s="40"/>
      <c r="B20" s="172" t="s">
        <v>45</v>
      </c>
      <c r="C20" s="39" t="s">
        <v>6</v>
      </c>
      <c r="D20" s="287" t="s">
        <v>340</v>
      </c>
      <c r="E20" s="288"/>
      <c r="F20" s="247" t="s">
        <v>16</v>
      </c>
      <c r="G20" s="248" t="s">
        <v>365</v>
      </c>
      <c r="H20" s="148" t="s">
        <v>17</v>
      </c>
      <c r="I20" s="307" t="s">
        <v>368</v>
      </c>
      <c r="J20" s="288"/>
      <c r="K20" s="289"/>
      <c r="L20" s="40"/>
      <c r="T20" s="42"/>
    </row>
    <row r="21" spans="1:20" s="39" customFormat="1" ht="4.1500000000000004" customHeight="1" x14ac:dyDescent="0.35">
      <c r="A21" s="40"/>
      <c r="B21" s="172"/>
      <c r="D21" s="287"/>
      <c r="E21" s="288"/>
      <c r="F21" s="288"/>
      <c r="G21" s="297"/>
      <c r="H21" s="148"/>
      <c r="I21" s="287"/>
      <c r="J21" s="288"/>
      <c r="K21" s="289"/>
      <c r="L21" s="40"/>
      <c r="T21" s="42"/>
    </row>
    <row r="22" spans="1:20" s="39" customFormat="1" ht="22.15" customHeight="1" x14ac:dyDescent="0.35">
      <c r="A22" s="40"/>
      <c r="B22" s="172" t="s">
        <v>21</v>
      </c>
      <c r="C22" s="39" t="s">
        <v>6</v>
      </c>
      <c r="D22" s="287" t="s">
        <v>371</v>
      </c>
      <c r="E22" s="288"/>
      <c r="F22" s="247" t="s">
        <v>16</v>
      </c>
      <c r="G22" s="248" t="s">
        <v>361</v>
      </c>
      <c r="H22" s="148" t="s">
        <v>17</v>
      </c>
      <c r="I22" s="307" t="s">
        <v>372</v>
      </c>
      <c r="J22" s="288"/>
      <c r="K22" s="289"/>
      <c r="L22" s="40"/>
      <c r="T22" s="42"/>
    </row>
    <row r="23" spans="1:20" s="39" customFormat="1" ht="4.1500000000000004" customHeight="1" x14ac:dyDescent="0.35">
      <c r="A23" s="40"/>
      <c r="B23" s="172"/>
      <c r="D23" s="298"/>
      <c r="E23" s="299"/>
      <c r="F23" s="299"/>
      <c r="G23" s="300"/>
      <c r="H23" s="252"/>
      <c r="I23" s="298"/>
      <c r="J23" s="299"/>
      <c r="K23" s="301"/>
      <c r="L23" s="40"/>
      <c r="T23" s="42"/>
    </row>
    <row r="24" spans="1:20" s="39" customFormat="1" ht="22.15" customHeight="1" x14ac:dyDescent="0.35">
      <c r="A24" s="40"/>
      <c r="B24" s="172"/>
      <c r="D24" s="305"/>
      <c r="E24" s="305"/>
      <c r="H24" s="244"/>
      <c r="I24" s="305"/>
      <c r="J24" s="305"/>
      <c r="K24" s="305"/>
      <c r="T24" s="42"/>
    </row>
    <row r="25" spans="1:20" s="39" customFormat="1" ht="4.1500000000000004" customHeight="1" x14ac:dyDescent="0.35">
      <c r="A25" s="40"/>
      <c r="B25" s="172"/>
      <c r="K25" s="42"/>
      <c r="L25" s="40"/>
      <c r="T25" s="42"/>
    </row>
    <row r="26" spans="1:20" s="39" customFormat="1" ht="22.15" customHeight="1" x14ac:dyDescent="0.35">
      <c r="A26" s="40"/>
      <c r="B26" s="172" t="s">
        <v>25</v>
      </c>
      <c r="D26" s="177"/>
      <c r="K26" s="42"/>
      <c r="L26" s="40"/>
      <c r="T26" s="42"/>
    </row>
    <row r="27" spans="1:20" s="39" customFormat="1" ht="22.15" customHeight="1" x14ac:dyDescent="0.35">
      <c r="A27" s="40"/>
      <c r="B27" s="178" t="s">
        <v>26</v>
      </c>
      <c r="C27" s="39" t="s">
        <v>6</v>
      </c>
      <c r="D27" s="287" t="s">
        <v>342</v>
      </c>
      <c r="E27" s="288"/>
      <c r="F27" s="247" t="s">
        <v>16</v>
      </c>
      <c r="G27" s="248" t="s">
        <v>364</v>
      </c>
      <c r="H27" s="148" t="s">
        <v>17</v>
      </c>
      <c r="I27" s="307" t="s">
        <v>367</v>
      </c>
      <c r="J27" s="288"/>
      <c r="K27" s="289"/>
      <c r="L27" s="40"/>
      <c r="T27" s="42"/>
    </row>
    <row r="28" spans="1:20" s="39" customFormat="1" ht="4.1500000000000004" customHeight="1" x14ac:dyDescent="0.35">
      <c r="A28" s="40"/>
      <c r="B28" s="179"/>
      <c r="D28" s="302"/>
      <c r="E28" s="303"/>
      <c r="F28" s="303"/>
      <c r="G28" s="304"/>
      <c r="H28" s="148"/>
      <c r="I28" s="287"/>
      <c r="J28" s="288"/>
      <c r="K28" s="289"/>
      <c r="L28" s="40"/>
      <c r="T28" s="42"/>
    </row>
    <row r="29" spans="1:20" s="39" customFormat="1" ht="22.15" customHeight="1" x14ac:dyDescent="0.35">
      <c r="A29" s="40"/>
      <c r="B29" s="178" t="s">
        <v>27</v>
      </c>
      <c r="C29" s="39" t="s">
        <v>6</v>
      </c>
      <c r="D29" s="287" t="s">
        <v>351</v>
      </c>
      <c r="E29" s="288"/>
      <c r="F29" s="247" t="s">
        <v>16</v>
      </c>
      <c r="G29" s="248" t="s">
        <v>358</v>
      </c>
      <c r="H29" s="148" t="s">
        <v>17</v>
      </c>
      <c r="I29" s="307" t="s">
        <v>369</v>
      </c>
      <c r="J29" s="288"/>
      <c r="K29" s="289"/>
      <c r="L29" s="40"/>
      <c r="T29" s="42"/>
    </row>
    <row r="30" spans="1:20" s="39" customFormat="1" ht="4.1500000000000004" customHeight="1" x14ac:dyDescent="0.35">
      <c r="A30" s="40"/>
      <c r="B30" s="180"/>
      <c r="D30" s="302"/>
      <c r="E30" s="303"/>
      <c r="F30" s="303"/>
      <c r="G30" s="304"/>
      <c r="H30" s="148"/>
      <c r="I30" s="287"/>
      <c r="J30" s="288"/>
      <c r="K30" s="289"/>
      <c r="L30" s="40"/>
      <c r="T30" s="42"/>
    </row>
    <row r="31" spans="1:20" s="39" customFormat="1" ht="22.15" customHeight="1" x14ac:dyDescent="0.35">
      <c r="A31" s="40"/>
      <c r="B31" s="178" t="s">
        <v>28</v>
      </c>
      <c r="C31" s="39" t="s">
        <v>6</v>
      </c>
      <c r="D31" s="287" t="s">
        <v>356</v>
      </c>
      <c r="E31" s="288"/>
      <c r="F31" s="247" t="s">
        <v>16</v>
      </c>
      <c r="G31" s="248" t="s">
        <v>362</v>
      </c>
      <c r="H31" s="148" t="s">
        <v>17</v>
      </c>
      <c r="I31" s="307" t="s">
        <v>375</v>
      </c>
      <c r="J31" s="288"/>
      <c r="K31" s="289"/>
      <c r="L31" s="40"/>
      <c r="T31" s="42"/>
    </row>
    <row r="32" spans="1:20" s="39" customFormat="1" ht="4.1500000000000004" customHeight="1" x14ac:dyDescent="0.35">
      <c r="A32" s="40"/>
      <c r="B32" s="180"/>
      <c r="D32" s="287"/>
      <c r="E32" s="288"/>
      <c r="F32" s="288"/>
      <c r="G32" s="297"/>
      <c r="H32" s="148"/>
      <c r="I32" s="287"/>
      <c r="J32" s="288"/>
      <c r="K32" s="289"/>
      <c r="L32" s="40"/>
      <c r="T32" s="42"/>
    </row>
    <row r="33" spans="1:20" s="39" customFormat="1" ht="22.15" customHeight="1" x14ac:dyDescent="0.35">
      <c r="A33" s="40"/>
      <c r="B33" s="178" t="s">
        <v>29</v>
      </c>
      <c r="D33" s="287" t="s">
        <v>357</v>
      </c>
      <c r="E33" s="288"/>
      <c r="F33" s="247" t="s">
        <v>16</v>
      </c>
      <c r="G33" s="248" t="s">
        <v>360</v>
      </c>
      <c r="H33" s="148" t="s">
        <v>17</v>
      </c>
      <c r="I33" s="307" t="s">
        <v>373</v>
      </c>
      <c r="J33" s="288"/>
      <c r="K33" s="289"/>
      <c r="L33" s="40"/>
      <c r="T33" s="42"/>
    </row>
    <row r="34" spans="1:20" s="39" customFormat="1" ht="4.1500000000000004" customHeight="1" x14ac:dyDescent="0.35">
      <c r="A34" s="40"/>
      <c r="B34" s="180"/>
      <c r="D34" s="287"/>
      <c r="E34" s="288"/>
      <c r="F34" s="288"/>
      <c r="G34" s="297"/>
      <c r="H34" s="148"/>
      <c r="I34" s="287"/>
      <c r="J34" s="288"/>
      <c r="K34" s="289"/>
      <c r="L34" s="40"/>
      <c r="T34" s="42"/>
    </row>
    <row r="35" spans="1:20" s="39" customFormat="1" ht="22.15" customHeight="1" x14ac:dyDescent="0.35">
      <c r="A35" s="40"/>
      <c r="B35" s="178" t="s">
        <v>30</v>
      </c>
      <c r="D35" s="287" t="s">
        <v>355</v>
      </c>
      <c r="E35" s="288"/>
      <c r="F35" s="247" t="s">
        <v>16</v>
      </c>
      <c r="G35" s="248" t="s">
        <v>359</v>
      </c>
      <c r="H35" s="148" t="s">
        <v>17</v>
      </c>
      <c r="I35" s="307" t="s">
        <v>377</v>
      </c>
      <c r="J35" s="288"/>
      <c r="K35" s="289"/>
      <c r="L35" s="40"/>
      <c r="T35" s="42"/>
    </row>
    <row r="36" spans="1:20" s="39" customFormat="1" ht="4.1500000000000004" customHeight="1" x14ac:dyDescent="0.35">
      <c r="A36" s="40"/>
      <c r="B36" s="180"/>
      <c r="D36" s="287"/>
      <c r="E36" s="288"/>
      <c r="F36" s="288"/>
      <c r="G36" s="297"/>
      <c r="H36" s="148"/>
      <c r="I36" s="287"/>
      <c r="J36" s="288"/>
      <c r="K36" s="289"/>
      <c r="L36" s="40"/>
      <c r="T36" s="42"/>
    </row>
    <row r="37" spans="1:20" s="39" customFormat="1" ht="22.15" customHeight="1" x14ac:dyDescent="0.35">
      <c r="A37" s="40"/>
      <c r="B37" s="178" t="s">
        <v>32</v>
      </c>
      <c r="D37" s="287"/>
      <c r="E37" s="288"/>
      <c r="F37" s="247"/>
      <c r="G37" s="248"/>
      <c r="H37" s="148"/>
      <c r="I37" s="287"/>
      <c r="J37" s="288"/>
      <c r="K37" s="289"/>
      <c r="L37" s="40"/>
      <c r="T37" s="42"/>
    </row>
    <row r="38" spans="1:20" s="39" customFormat="1" ht="4.1500000000000004" customHeight="1" x14ac:dyDescent="0.35">
      <c r="A38" s="40"/>
      <c r="B38" s="180"/>
      <c r="D38" s="287"/>
      <c r="E38" s="288"/>
      <c r="F38" s="288"/>
      <c r="G38" s="297"/>
      <c r="H38" s="148"/>
      <c r="I38" s="287"/>
      <c r="J38" s="288"/>
      <c r="K38" s="289"/>
      <c r="L38" s="40"/>
      <c r="T38" s="42"/>
    </row>
    <row r="39" spans="1:20" s="39" customFormat="1" ht="22.15" hidden="1" customHeight="1" x14ac:dyDescent="0.35">
      <c r="A39" s="40"/>
      <c r="B39" s="178"/>
      <c r="D39" s="305"/>
      <c r="E39" s="305"/>
      <c r="F39" s="305"/>
      <c r="G39" s="305"/>
      <c r="H39" s="244"/>
      <c r="I39" s="305"/>
      <c r="J39" s="305"/>
      <c r="K39" s="306"/>
      <c r="L39" s="40"/>
      <c r="T39" s="42"/>
    </row>
    <row r="40" spans="1:20" s="39" customFormat="1" ht="4.1500000000000004" customHeight="1" x14ac:dyDescent="0.35">
      <c r="A40" s="40"/>
      <c r="D40" s="177"/>
      <c r="K40" s="42"/>
      <c r="L40" s="40"/>
      <c r="T40" s="42"/>
    </row>
    <row r="41" spans="1:20" s="39" customFormat="1" ht="12.75" customHeight="1" x14ac:dyDescent="0.35">
      <c r="A41" s="40"/>
      <c r="B41" s="172" t="s">
        <v>34</v>
      </c>
      <c r="C41" s="39" t="s">
        <v>6</v>
      </c>
      <c r="K41" s="42"/>
      <c r="L41" s="40"/>
      <c r="T41" s="42"/>
    </row>
    <row r="42" spans="1:20" s="39" customFormat="1" ht="22.15" customHeight="1" x14ac:dyDescent="0.35">
      <c r="A42" s="40"/>
      <c r="B42" s="39" t="s">
        <v>35</v>
      </c>
      <c r="C42" s="39" t="s">
        <v>6</v>
      </c>
      <c r="K42" s="42"/>
      <c r="L42" s="40"/>
      <c r="T42" s="42"/>
    </row>
    <row r="43" spans="1:20" s="39" customFormat="1" ht="22.15" customHeight="1" x14ac:dyDescent="0.35">
      <c r="A43" s="40"/>
      <c r="B43" s="39" t="s">
        <v>36</v>
      </c>
      <c r="C43" s="39" t="s">
        <v>6</v>
      </c>
      <c r="K43" s="42"/>
      <c r="L43" s="40"/>
      <c r="T43" s="42"/>
    </row>
    <row r="44" spans="1:20" s="39" customFormat="1" ht="22.15" customHeight="1" x14ac:dyDescent="0.35">
      <c r="A44" s="40"/>
      <c r="B44" s="39" t="s">
        <v>37</v>
      </c>
      <c r="C44" s="39" t="s">
        <v>6</v>
      </c>
      <c r="K44" s="42"/>
      <c r="L44" s="40"/>
      <c r="T44" s="42"/>
    </row>
    <row r="45" spans="1:20" s="39" customFormat="1" ht="18.75" customHeight="1" x14ac:dyDescent="0.35">
      <c r="A45" s="40"/>
      <c r="B45" s="39" t="s">
        <v>38</v>
      </c>
      <c r="C45" s="39" t="s">
        <v>6</v>
      </c>
      <c r="K45" s="42"/>
      <c r="L45" s="47" t="s">
        <v>39</v>
      </c>
      <c r="T45" s="42"/>
    </row>
    <row r="46" spans="1:20" s="39" customFormat="1" ht="18" customHeight="1" x14ac:dyDescent="0.35">
      <c r="A46" s="40"/>
      <c r="B46" s="39" t="s">
        <v>40</v>
      </c>
      <c r="C46" s="39" t="s">
        <v>6</v>
      </c>
      <c r="K46" s="42"/>
      <c r="L46" s="40"/>
      <c r="T46" s="42"/>
    </row>
    <row r="47" spans="1:20" s="39" customFormat="1" ht="18" customHeight="1" x14ac:dyDescent="0.35">
      <c r="A47" s="40"/>
      <c r="C47" s="181"/>
      <c r="D47" s="175"/>
      <c r="E47" s="175"/>
      <c r="F47" s="175"/>
      <c r="G47" s="168" t="s">
        <v>41</v>
      </c>
      <c r="K47" s="42"/>
      <c r="L47" s="40"/>
      <c r="T47" s="42"/>
    </row>
    <row r="48" spans="1:20" s="39" customFormat="1" ht="22.15" customHeight="1" x14ac:dyDescent="0.35">
      <c r="A48" s="40"/>
      <c r="B48" s="182"/>
      <c r="K48" s="42"/>
      <c r="L48" s="40"/>
      <c r="T48" s="42"/>
    </row>
    <row r="49" spans="1:20" s="39" customFormat="1" ht="22.15" customHeight="1" x14ac:dyDescent="0.35">
      <c r="A49" s="40"/>
      <c r="K49" s="42"/>
      <c r="L49" s="40"/>
      <c r="T49" s="42"/>
    </row>
    <row r="50" spans="1:20" s="39" customFormat="1" ht="22.15" customHeight="1" x14ac:dyDescent="0.35">
      <c r="A50" s="40"/>
      <c r="K50" s="42"/>
      <c r="L50" s="40"/>
      <c r="T50" s="42"/>
    </row>
    <row r="51" spans="1:20" s="39" customFormat="1" ht="22.15" customHeight="1" x14ac:dyDescent="0.35">
      <c r="A51" s="40"/>
      <c r="K51" s="42"/>
      <c r="L51" s="40"/>
      <c r="T51" s="42"/>
    </row>
    <row r="52" spans="1:20" s="39" customFormat="1" ht="21.75" customHeight="1" thickBot="1" x14ac:dyDescent="0.4">
      <c r="A52" s="48"/>
      <c r="B52" s="49"/>
      <c r="C52" s="49"/>
      <c r="D52" s="49"/>
      <c r="E52" s="49"/>
      <c r="F52" s="49"/>
      <c r="G52" s="49"/>
      <c r="H52" s="49"/>
      <c r="I52" s="49"/>
      <c r="J52" s="49"/>
      <c r="K52" s="50"/>
      <c r="L52" s="48"/>
      <c r="M52" s="49"/>
      <c r="N52" s="49"/>
      <c r="O52" s="49"/>
      <c r="P52" s="49"/>
      <c r="Q52" s="49"/>
      <c r="R52" s="49"/>
      <c r="S52" s="49"/>
      <c r="T52" s="50"/>
    </row>
    <row r="53" spans="1:20" ht="9.75" hidden="1" customHeight="1" x14ac:dyDescent="0.35">
      <c r="A53" s="86"/>
      <c r="B53" s="87"/>
      <c r="C53" s="87"/>
      <c r="D53" s="87"/>
      <c r="E53" s="87"/>
      <c r="F53" s="87"/>
      <c r="G53" s="87"/>
      <c r="H53" s="87"/>
      <c r="I53" s="87"/>
      <c r="J53" s="87"/>
      <c r="K53" s="183"/>
      <c r="L53" s="184"/>
      <c r="M53" s="87"/>
      <c r="N53" s="87"/>
      <c r="O53" s="87"/>
      <c r="P53" s="87"/>
      <c r="Q53" s="87"/>
      <c r="R53" s="87"/>
      <c r="S53" s="87"/>
      <c r="T53" s="88"/>
    </row>
    <row r="54" spans="1:20" ht="15" thickTop="1" x14ac:dyDescent="0.35"/>
  </sheetData>
  <mergeCells count="46">
    <mergeCell ref="D39:G39"/>
    <mergeCell ref="I39:K39"/>
    <mergeCell ref="D36:G36"/>
    <mergeCell ref="I36:K36"/>
    <mergeCell ref="D35:E35"/>
    <mergeCell ref="I37:K37"/>
    <mergeCell ref="D38:G38"/>
    <mergeCell ref="I38:K38"/>
    <mergeCell ref="D37:E37"/>
    <mergeCell ref="D33:E33"/>
    <mergeCell ref="I33:K33"/>
    <mergeCell ref="D34:G34"/>
    <mergeCell ref="I34:K34"/>
    <mergeCell ref="I35:K35"/>
    <mergeCell ref="D30:G30"/>
    <mergeCell ref="I30:K30"/>
    <mergeCell ref="D31:E31"/>
    <mergeCell ref="I31:K31"/>
    <mergeCell ref="D32:G32"/>
    <mergeCell ref="I32:K32"/>
    <mergeCell ref="D27:E27"/>
    <mergeCell ref="I27:K27"/>
    <mergeCell ref="D28:G28"/>
    <mergeCell ref="I28:K28"/>
    <mergeCell ref="D29:E29"/>
    <mergeCell ref="I29:K29"/>
    <mergeCell ref="D22:E22"/>
    <mergeCell ref="I22:K22"/>
    <mergeCell ref="D23:G23"/>
    <mergeCell ref="I23:K23"/>
    <mergeCell ref="D24:E24"/>
    <mergeCell ref="I24:K24"/>
    <mergeCell ref="D19:G19"/>
    <mergeCell ref="I19:K19"/>
    <mergeCell ref="D20:E20"/>
    <mergeCell ref="I20:K20"/>
    <mergeCell ref="D21:G21"/>
    <mergeCell ref="I21:K21"/>
    <mergeCell ref="D18:E18"/>
    <mergeCell ref="I18:K18"/>
    <mergeCell ref="D2:K2"/>
    <mergeCell ref="N2:T2"/>
    <mergeCell ref="D3:K3"/>
    <mergeCell ref="O3:S3"/>
    <mergeCell ref="D8:I8"/>
    <mergeCell ref="D6:E6"/>
  </mergeCells>
  <dataValidations count="1">
    <dataValidation type="list" allowBlank="1" showInputMessage="1" showErrorMessage="1" sqref="G6">
      <formula1>$Y$1:$Y$2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  <pageSetUpPr fitToPage="1"/>
  </sheetPr>
  <dimension ref="A1:AL34"/>
  <sheetViews>
    <sheetView showGridLines="0" topLeftCell="E4" zoomScaleNormal="100" zoomScaleSheetLayoutView="95" workbookViewId="0">
      <selection activeCell="AF11" sqref="AF11"/>
    </sheetView>
  </sheetViews>
  <sheetFormatPr defaultColWidth="9.1796875" defaultRowHeight="14.5" x14ac:dyDescent="0.35"/>
  <cols>
    <col min="1" max="1" width="2.7265625" style="32" customWidth="1"/>
    <col min="2" max="2" width="8" style="32" customWidth="1"/>
    <col min="3" max="3" width="7.1796875" style="32" customWidth="1"/>
    <col min="4" max="4" width="31" style="32" customWidth="1"/>
    <col min="5" max="5" width="9.1796875" style="32"/>
    <col min="6" max="29" width="3.7265625" style="32" customWidth="1"/>
    <col min="30" max="30" width="2.7265625" style="32" customWidth="1"/>
    <col min="31" max="16384" width="9.1796875" style="32"/>
  </cols>
  <sheetData>
    <row r="1" spans="1:38" ht="19" thickTop="1" x14ac:dyDescent="0.35">
      <c r="A1" s="53"/>
      <c r="B1" s="54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6"/>
    </row>
    <row r="2" spans="1:38" ht="26.25" customHeight="1" x14ac:dyDescent="0.35">
      <c r="A2" s="57"/>
      <c r="C2" s="41"/>
      <c r="AD2" s="58"/>
    </row>
    <row r="3" spans="1:38" x14ac:dyDescent="0.35">
      <c r="A3" s="57"/>
      <c r="AD3" s="58"/>
    </row>
    <row r="4" spans="1:38" ht="18.5" x14ac:dyDescent="0.35">
      <c r="A4" s="57"/>
      <c r="B4" s="99" t="e">
        <f>"RENCANA KEGIATAN CIRCLE"&amp;" "&amp;#REF!</f>
        <v>#REF!</v>
      </c>
      <c r="C4" s="59" t="s">
        <v>46</v>
      </c>
      <c r="D4" s="59"/>
      <c r="AD4" s="58"/>
    </row>
    <row r="5" spans="1:38" x14ac:dyDescent="0.35">
      <c r="A5" s="57"/>
      <c r="F5" s="308" t="s">
        <v>336</v>
      </c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58"/>
    </row>
    <row r="6" spans="1:38" x14ac:dyDescent="0.35">
      <c r="A6" s="57"/>
      <c r="B6" s="313" t="s">
        <v>47</v>
      </c>
      <c r="C6" s="313" t="s">
        <v>48</v>
      </c>
      <c r="D6" s="315" t="s">
        <v>49</v>
      </c>
      <c r="E6" s="316"/>
      <c r="F6" s="311" t="s">
        <v>52</v>
      </c>
      <c r="G6" s="312"/>
      <c r="H6" s="312"/>
      <c r="I6" s="312"/>
      <c r="J6" s="311" t="s">
        <v>53</v>
      </c>
      <c r="K6" s="312"/>
      <c r="L6" s="312"/>
      <c r="M6" s="312"/>
      <c r="N6" s="311" t="s">
        <v>54</v>
      </c>
      <c r="O6" s="312"/>
      <c r="P6" s="312"/>
      <c r="Q6" s="312"/>
      <c r="R6" s="311" t="s">
        <v>65</v>
      </c>
      <c r="S6" s="312"/>
      <c r="T6" s="312"/>
      <c r="U6" s="312"/>
      <c r="V6" s="311" t="s">
        <v>67</v>
      </c>
      <c r="W6" s="312"/>
      <c r="X6" s="312"/>
      <c r="Y6" s="312"/>
      <c r="Z6" s="311" t="s">
        <v>69</v>
      </c>
      <c r="AA6" s="312"/>
      <c r="AB6" s="312"/>
      <c r="AC6" s="312"/>
      <c r="AD6" s="58"/>
    </row>
    <row r="7" spans="1:38" s="68" customFormat="1" x14ac:dyDescent="0.35">
      <c r="A7" s="61"/>
      <c r="B7" s="314"/>
      <c r="C7" s="314"/>
      <c r="D7" s="317"/>
      <c r="E7" s="318"/>
      <c r="F7" s="62" t="s">
        <v>55</v>
      </c>
      <c r="G7" s="62" t="s">
        <v>56</v>
      </c>
      <c r="H7" s="62" t="s">
        <v>57</v>
      </c>
      <c r="I7" s="63" t="s">
        <v>58</v>
      </c>
      <c r="J7" s="64" t="s">
        <v>55</v>
      </c>
      <c r="K7" s="62" t="s">
        <v>56</v>
      </c>
      <c r="L7" s="62" t="s">
        <v>57</v>
      </c>
      <c r="M7" s="65" t="s">
        <v>58</v>
      </c>
      <c r="N7" s="66" t="s">
        <v>55</v>
      </c>
      <c r="O7" s="62" t="s">
        <v>56</v>
      </c>
      <c r="P7" s="62" t="s">
        <v>57</v>
      </c>
      <c r="Q7" s="63" t="s">
        <v>58</v>
      </c>
      <c r="R7" s="64" t="s">
        <v>55</v>
      </c>
      <c r="S7" s="62" t="s">
        <v>56</v>
      </c>
      <c r="T7" s="62" t="s">
        <v>57</v>
      </c>
      <c r="U7" s="65" t="s">
        <v>58</v>
      </c>
      <c r="V7" s="66" t="s">
        <v>55</v>
      </c>
      <c r="W7" s="62" t="s">
        <v>56</v>
      </c>
      <c r="X7" s="62" t="s">
        <v>57</v>
      </c>
      <c r="Y7" s="63" t="s">
        <v>58</v>
      </c>
      <c r="Z7" s="64" t="s">
        <v>55</v>
      </c>
      <c r="AA7" s="62" t="s">
        <v>56</v>
      </c>
      <c r="AB7" s="62" t="s">
        <v>57</v>
      </c>
      <c r="AC7" s="62" t="s">
        <v>58</v>
      </c>
      <c r="AD7" s="67"/>
      <c r="AJ7" s="69" t="s">
        <v>59</v>
      </c>
      <c r="AK7" s="69" t="s">
        <v>60</v>
      </c>
      <c r="AL7" s="70" t="s">
        <v>61</v>
      </c>
    </row>
    <row r="8" spans="1:38" s="68" customFormat="1" x14ac:dyDescent="0.35">
      <c r="A8" s="61"/>
      <c r="B8" s="89"/>
      <c r="C8" s="89" t="s">
        <v>62</v>
      </c>
      <c r="D8" s="90" t="s">
        <v>63</v>
      </c>
      <c r="E8" s="91" t="s">
        <v>64</v>
      </c>
      <c r="F8" s="92" t="s">
        <v>61</v>
      </c>
      <c r="G8" s="92" t="s">
        <v>61</v>
      </c>
      <c r="H8" s="93"/>
      <c r="I8" s="94"/>
      <c r="J8" s="95"/>
      <c r="K8" s="93"/>
      <c r="L8" s="93"/>
      <c r="M8" s="96"/>
      <c r="N8" s="97"/>
      <c r="O8" s="93"/>
      <c r="P8" s="93"/>
      <c r="Q8" s="94"/>
      <c r="R8" s="95"/>
      <c r="S8" s="93"/>
      <c r="T8" s="93"/>
      <c r="U8" s="96"/>
      <c r="V8" s="97"/>
      <c r="W8" s="93"/>
      <c r="X8" s="93"/>
      <c r="Y8" s="94"/>
      <c r="Z8" s="95"/>
      <c r="AA8" s="93"/>
      <c r="AB8" s="93"/>
      <c r="AC8" s="93"/>
      <c r="AD8" s="67"/>
      <c r="AJ8" s="69">
        <v>2024</v>
      </c>
      <c r="AK8" s="69" t="s">
        <v>65</v>
      </c>
      <c r="AL8" s="70" t="s">
        <v>20</v>
      </c>
    </row>
    <row r="9" spans="1:38" s="68" customFormat="1" x14ac:dyDescent="0.35">
      <c r="A9" s="61"/>
      <c r="B9" s="89"/>
      <c r="C9" s="89"/>
      <c r="D9" s="98"/>
      <c r="E9" s="91" t="s">
        <v>66</v>
      </c>
      <c r="F9" s="93"/>
      <c r="G9" s="92" t="s">
        <v>20</v>
      </c>
      <c r="H9" s="92" t="s">
        <v>20</v>
      </c>
      <c r="I9" s="94"/>
      <c r="J9" s="95"/>
      <c r="K9" s="93"/>
      <c r="L9" s="93"/>
      <c r="M9" s="96"/>
      <c r="N9" s="97"/>
      <c r="O9" s="93"/>
      <c r="P9" s="93"/>
      <c r="Q9" s="94"/>
      <c r="R9" s="95"/>
      <c r="S9" s="93"/>
      <c r="T9" s="93"/>
      <c r="U9" s="96"/>
      <c r="V9" s="97"/>
      <c r="W9" s="93"/>
      <c r="X9" s="93"/>
      <c r="Y9" s="94"/>
      <c r="Z9" s="95"/>
      <c r="AA9" s="93"/>
      <c r="AB9" s="93"/>
      <c r="AC9" s="93"/>
      <c r="AD9" s="67"/>
      <c r="AJ9" s="69" t="s">
        <v>334</v>
      </c>
      <c r="AK9" s="69" t="s">
        <v>67</v>
      </c>
      <c r="AL9" s="69"/>
    </row>
    <row r="10" spans="1:38" x14ac:dyDescent="0.35">
      <c r="A10" s="57"/>
      <c r="B10" s="72" t="s">
        <v>64</v>
      </c>
      <c r="C10" s="73" t="s">
        <v>68</v>
      </c>
      <c r="D10" s="73" t="s">
        <v>63</v>
      </c>
      <c r="E10" s="74" t="s">
        <v>64</v>
      </c>
      <c r="F10" s="76"/>
      <c r="G10" s="76"/>
      <c r="H10" s="71" t="s">
        <v>337</v>
      </c>
      <c r="I10" s="75" t="s">
        <v>337</v>
      </c>
      <c r="J10" s="76" t="s">
        <v>337</v>
      </c>
      <c r="K10" s="71" t="s">
        <v>337</v>
      </c>
      <c r="L10" s="71"/>
      <c r="M10" s="77"/>
      <c r="N10" s="78"/>
      <c r="O10" s="71"/>
      <c r="P10" s="71"/>
      <c r="Q10" s="75"/>
      <c r="R10" s="76"/>
      <c r="S10" s="71"/>
      <c r="T10" s="71"/>
      <c r="U10" s="77"/>
      <c r="V10" s="78"/>
      <c r="W10" s="71"/>
      <c r="X10" s="71"/>
      <c r="Y10" s="75"/>
      <c r="Z10" s="76"/>
      <c r="AA10" s="71"/>
      <c r="AB10" s="71"/>
      <c r="AC10" s="71"/>
      <c r="AD10" s="58"/>
      <c r="AJ10" s="69">
        <v>2025</v>
      </c>
      <c r="AK10" s="69" t="s">
        <v>69</v>
      </c>
      <c r="AL10" s="79"/>
    </row>
    <row r="11" spans="1:38" x14ac:dyDescent="0.35">
      <c r="A11" s="57"/>
      <c r="B11" s="80"/>
      <c r="C11" s="81"/>
      <c r="D11" s="81"/>
      <c r="E11" s="74" t="s">
        <v>66</v>
      </c>
      <c r="F11" s="76"/>
      <c r="G11" s="76"/>
      <c r="H11" s="71"/>
      <c r="I11" s="75"/>
      <c r="J11" s="283" t="s">
        <v>20</v>
      </c>
      <c r="K11" s="71" t="s">
        <v>20</v>
      </c>
      <c r="L11" s="71" t="s">
        <v>20</v>
      </c>
      <c r="M11" s="77"/>
      <c r="N11" s="78"/>
      <c r="O11" s="71"/>
      <c r="P11" s="71"/>
      <c r="Q11" s="75"/>
      <c r="R11" s="76"/>
      <c r="S11" s="71"/>
      <c r="T11" s="71"/>
      <c r="U11" s="77"/>
      <c r="V11" s="78"/>
      <c r="W11" s="71"/>
      <c r="X11" s="71"/>
      <c r="Y11" s="75"/>
      <c r="Z11" s="76"/>
      <c r="AA11" s="71"/>
      <c r="AB11" s="71"/>
      <c r="AC11" s="71"/>
      <c r="AD11" s="58"/>
      <c r="AJ11" s="69" t="s">
        <v>336</v>
      </c>
      <c r="AK11" s="69" t="s">
        <v>70</v>
      </c>
      <c r="AL11" s="79"/>
    </row>
    <row r="12" spans="1:38" x14ac:dyDescent="0.35">
      <c r="A12" s="57"/>
      <c r="B12" s="80"/>
      <c r="C12" s="73" t="s">
        <v>71</v>
      </c>
      <c r="D12" s="73" t="s">
        <v>72</v>
      </c>
      <c r="E12" s="74" t="s">
        <v>64</v>
      </c>
      <c r="F12" s="71"/>
      <c r="G12" s="71"/>
      <c r="H12" s="71"/>
      <c r="I12" s="71"/>
      <c r="J12" s="76"/>
      <c r="K12" s="71"/>
      <c r="L12" s="71" t="s">
        <v>337</v>
      </c>
      <c r="M12" s="77" t="s">
        <v>337</v>
      </c>
      <c r="N12" s="78" t="s">
        <v>337</v>
      </c>
      <c r="O12" s="71"/>
      <c r="P12" s="71"/>
      <c r="Q12" s="75"/>
      <c r="R12" s="76"/>
      <c r="S12" s="71"/>
      <c r="T12" s="71"/>
      <c r="U12" s="77"/>
      <c r="V12" s="78"/>
      <c r="W12" s="71"/>
      <c r="X12" s="71"/>
      <c r="Y12" s="75"/>
      <c r="Z12" s="76"/>
      <c r="AA12" s="71"/>
      <c r="AB12" s="71"/>
      <c r="AC12" s="71"/>
      <c r="AD12" s="58"/>
      <c r="AJ12" s="69">
        <v>2026</v>
      </c>
      <c r="AK12" s="69" t="s">
        <v>50</v>
      </c>
      <c r="AL12" s="79"/>
    </row>
    <row r="13" spans="1:38" x14ac:dyDescent="0.35">
      <c r="A13" s="57"/>
      <c r="B13" s="80"/>
      <c r="C13" s="81"/>
      <c r="D13" s="81"/>
      <c r="E13" s="74" t="s">
        <v>66</v>
      </c>
      <c r="F13" s="71"/>
      <c r="G13" s="71"/>
      <c r="H13" s="71"/>
      <c r="I13" s="71"/>
      <c r="J13" s="76"/>
      <c r="K13" s="71"/>
      <c r="L13" s="71"/>
      <c r="M13" s="77"/>
      <c r="N13" s="78" t="s">
        <v>20</v>
      </c>
      <c r="O13" s="71" t="s">
        <v>20</v>
      </c>
      <c r="P13" s="71" t="s">
        <v>20</v>
      </c>
      <c r="Q13" s="75"/>
      <c r="R13" s="76"/>
      <c r="S13" s="71"/>
      <c r="T13" s="71"/>
      <c r="U13" s="77"/>
      <c r="V13" s="78"/>
      <c r="W13" s="71"/>
      <c r="X13" s="71"/>
      <c r="Y13" s="75"/>
      <c r="Z13" s="76"/>
      <c r="AA13" s="71"/>
      <c r="AB13" s="71"/>
      <c r="AC13" s="71"/>
      <c r="AD13" s="58"/>
      <c r="AJ13" s="69" t="s">
        <v>73</v>
      </c>
      <c r="AK13" s="69" t="s">
        <v>74</v>
      </c>
      <c r="AL13" s="79"/>
    </row>
    <row r="14" spans="1:38" x14ac:dyDescent="0.35">
      <c r="A14" s="57"/>
      <c r="B14" s="80"/>
      <c r="C14" s="73" t="s">
        <v>75</v>
      </c>
      <c r="D14" s="73" t="s">
        <v>76</v>
      </c>
      <c r="E14" s="74" t="s">
        <v>64</v>
      </c>
      <c r="F14" s="71"/>
      <c r="G14" s="71"/>
      <c r="H14" s="71"/>
      <c r="I14" s="71"/>
      <c r="J14" s="71"/>
      <c r="K14" s="71"/>
      <c r="L14" s="71"/>
      <c r="M14" s="77"/>
      <c r="N14" s="78"/>
      <c r="O14" s="71" t="s">
        <v>337</v>
      </c>
      <c r="P14" s="71"/>
      <c r="Q14" s="75"/>
      <c r="R14" s="76"/>
      <c r="S14" s="71"/>
      <c r="T14" s="71"/>
      <c r="U14" s="77"/>
      <c r="V14" s="78"/>
      <c r="W14" s="71"/>
      <c r="X14" s="71"/>
      <c r="Y14" s="75"/>
      <c r="Z14" s="76"/>
      <c r="AA14" s="71"/>
      <c r="AB14" s="71"/>
      <c r="AC14" s="71"/>
      <c r="AD14" s="58"/>
      <c r="AJ14" s="69">
        <v>2015</v>
      </c>
      <c r="AK14" s="69" t="s">
        <v>77</v>
      </c>
      <c r="AL14" s="79"/>
    </row>
    <row r="15" spans="1:38" x14ac:dyDescent="0.35">
      <c r="A15" s="57"/>
      <c r="B15" s="80"/>
      <c r="C15" s="81"/>
      <c r="D15" s="81"/>
      <c r="E15" s="74" t="s">
        <v>66</v>
      </c>
      <c r="F15" s="71"/>
      <c r="G15" s="71"/>
      <c r="H15" s="71"/>
      <c r="I15" s="75"/>
      <c r="J15" s="76"/>
      <c r="K15" s="71"/>
      <c r="L15" s="71"/>
      <c r="M15" s="77"/>
      <c r="N15" s="78"/>
      <c r="O15" s="71"/>
      <c r="P15" s="71"/>
      <c r="Q15" s="75" t="s">
        <v>20</v>
      </c>
      <c r="R15" s="76"/>
      <c r="S15" s="71"/>
      <c r="T15" s="71"/>
      <c r="U15" s="77"/>
      <c r="V15" s="78"/>
      <c r="W15" s="71"/>
      <c r="X15" s="71"/>
      <c r="Y15" s="75"/>
      <c r="Z15" s="76"/>
      <c r="AA15" s="71"/>
      <c r="AB15" s="71"/>
      <c r="AC15" s="71"/>
      <c r="AD15" s="58"/>
      <c r="AJ15" s="79" t="s">
        <v>78</v>
      </c>
      <c r="AK15" s="69" t="s">
        <v>79</v>
      </c>
      <c r="AL15" s="79"/>
    </row>
    <row r="16" spans="1:38" x14ac:dyDescent="0.35">
      <c r="A16" s="57"/>
      <c r="B16" s="80"/>
      <c r="C16" s="73" t="s">
        <v>80</v>
      </c>
      <c r="D16" s="73" t="s">
        <v>81</v>
      </c>
      <c r="E16" s="74" t="s">
        <v>64</v>
      </c>
      <c r="F16" s="71"/>
      <c r="G16" s="71"/>
      <c r="H16" s="71"/>
      <c r="I16" s="71"/>
      <c r="J16" s="71"/>
      <c r="K16" s="71"/>
      <c r="L16" s="71"/>
      <c r="M16" s="77"/>
      <c r="N16" s="78"/>
      <c r="O16" s="71"/>
      <c r="P16" s="71" t="s">
        <v>337</v>
      </c>
      <c r="Q16" s="75" t="s">
        <v>337</v>
      </c>
      <c r="R16" s="76"/>
      <c r="S16" s="71"/>
      <c r="T16" s="71"/>
      <c r="U16" s="77"/>
      <c r="V16" s="78"/>
      <c r="W16" s="71"/>
      <c r="X16" s="71"/>
      <c r="Y16" s="75"/>
      <c r="Z16" s="76"/>
      <c r="AA16" s="71"/>
      <c r="AB16" s="71"/>
      <c r="AC16" s="71"/>
      <c r="AD16" s="58"/>
      <c r="AJ16" s="69">
        <v>2016</v>
      </c>
      <c r="AK16" s="69" t="s">
        <v>51</v>
      </c>
      <c r="AL16" s="79"/>
    </row>
    <row r="17" spans="1:38" x14ac:dyDescent="0.35">
      <c r="A17" s="57"/>
      <c r="B17" s="80"/>
      <c r="C17" s="81"/>
      <c r="D17" s="81"/>
      <c r="E17" s="74" t="s">
        <v>66</v>
      </c>
      <c r="F17" s="71"/>
      <c r="G17" s="71"/>
      <c r="H17" s="71"/>
      <c r="I17" s="71"/>
      <c r="J17" s="76"/>
      <c r="K17" s="71"/>
      <c r="L17" s="71"/>
      <c r="M17" s="77"/>
      <c r="N17" s="78"/>
      <c r="O17" s="71"/>
      <c r="P17" s="71"/>
      <c r="Q17" s="75"/>
      <c r="R17" s="76" t="s">
        <v>20</v>
      </c>
      <c r="S17" s="71" t="s">
        <v>20</v>
      </c>
      <c r="T17" s="71"/>
      <c r="U17" s="77"/>
      <c r="V17" s="78"/>
      <c r="W17" s="71"/>
      <c r="X17" s="71"/>
      <c r="Y17" s="75"/>
      <c r="Z17" s="76"/>
      <c r="AA17" s="71"/>
      <c r="AB17" s="71"/>
      <c r="AC17" s="71"/>
      <c r="AD17" s="58"/>
      <c r="AJ17" s="79" t="s">
        <v>82</v>
      </c>
      <c r="AK17" s="69" t="s">
        <v>52</v>
      </c>
      <c r="AL17" s="79"/>
    </row>
    <row r="18" spans="1:38" x14ac:dyDescent="0.35">
      <c r="A18" s="57"/>
      <c r="B18" s="80"/>
      <c r="C18" s="73" t="s">
        <v>83</v>
      </c>
      <c r="D18" s="73" t="s">
        <v>84</v>
      </c>
      <c r="E18" s="74" t="s">
        <v>64</v>
      </c>
      <c r="F18" s="71"/>
      <c r="G18" s="71"/>
      <c r="H18" s="71"/>
      <c r="I18" s="75"/>
      <c r="J18" s="71"/>
      <c r="K18" s="71"/>
      <c r="L18" s="71"/>
      <c r="M18" s="71"/>
      <c r="N18" s="71"/>
      <c r="O18" s="75"/>
      <c r="P18" s="75"/>
      <c r="Q18" s="75"/>
      <c r="R18" s="76" t="s">
        <v>337</v>
      </c>
      <c r="S18" s="71"/>
      <c r="T18" s="71"/>
      <c r="U18" s="77"/>
      <c r="V18" s="78"/>
      <c r="W18" s="71"/>
      <c r="X18" s="71"/>
      <c r="Y18" s="75"/>
      <c r="Z18" s="76"/>
      <c r="AA18" s="71"/>
      <c r="AB18" s="71"/>
      <c r="AC18" s="71"/>
      <c r="AD18" s="58"/>
      <c r="AJ18" s="69">
        <v>2017</v>
      </c>
      <c r="AK18" s="69" t="s">
        <v>53</v>
      </c>
      <c r="AL18" s="79"/>
    </row>
    <row r="19" spans="1:38" x14ac:dyDescent="0.35">
      <c r="A19" s="57"/>
      <c r="B19" s="82"/>
      <c r="C19" s="81"/>
      <c r="D19" s="81"/>
      <c r="E19" s="74" t="s">
        <v>66</v>
      </c>
      <c r="F19" s="71"/>
      <c r="G19" s="71"/>
      <c r="H19" s="71"/>
      <c r="I19" s="75"/>
      <c r="J19" s="71"/>
      <c r="K19" s="71"/>
      <c r="L19" s="71"/>
      <c r="M19" s="77"/>
      <c r="N19" s="78"/>
      <c r="O19" s="71"/>
      <c r="P19" s="71"/>
      <c r="Q19" s="75"/>
      <c r="R19" s="76"/>
      <c r="S19" s="71" t="s">
        <v>20</v>
      </c>
      <c r="T19" s="71"/>
      <c r="U19" s="77"/>
      <c r="V19" s="78"/>
      <c r="W19" s="71"/>
      <c r="X19" s="71"/>
      <c r="Y19" s="75"/>
      <c r="Z19" s="76"/>
      <c r="AA19" s="71"/>
      <c r="AB19" s="71"/>
      <c r="AC19" s="71"/>
      <c r="AD19" s="58"/>
      <c r="AJ19" s="79">
        <v>2022</v>
      </c>
      <c r="AK19" s="69" t="s">
        <v>54</v>
      </c>
      <c r="AL19" s="79"/>
    </row>
    <row r="20" spans="1:38" x14ac:dyDescent="0.35">
      <c r="A20" s="57"/>
      <c r="B20" s="72" t="s">
        <v>85</v>
      </c>
      <c r="C20" s="73" t="s">
        <v>86</v>
      </c>
      <c r="D20" s="73" t="s">
        <v>87</v>
      </c>
      <c r="E20" s="74" t="s">
        <v>64</v>
      </c>
      <c r="F20" s="71"/>
      <c r="G20" s="71"/>
      <c r="H20" s="71"/>
      <c r="I20" s="75"/>
      <c r="J20" s="76"/>
      <c r="K20" s="71"/>
      <c r="L20" s="71"/>
      <c r="M20" s="77"/>
      <c r="N20" s="71"/>
      <c r="O20" s="71"/>
      <c r="P20" s="71"/>
      <c r="Q20" s="71"/>
      <c r="R20" s="71"/>
      <c r="S20" s="71" t="s">
        <v>337</v>
      </c>
      <c r="T20" s="71" t="s">
        <v>337</v>
      </c>
      <c r="U20" s="77" t="s">
        <v>337</v>
      </c>
      <c r="V20" s="78" t="s">
        <v>337</v>
      </c>
      <c r="W20" s="71" t="s">
        <v>337</v>
      </c>
      <c r="X20" s="71"/>
      <c r="Y20" s="75"/>
      <c r="Z20" s="76"/>
      <c r="AA20" s="71"/>
      <c r="AB20" s="71"/>
      <c r="AC20" s="71"/>
      <c r="AD20" s="58"/>
      <c r="AJ20" s="69">
        <v>2023</v>
      </c>
      <c r="AK20" s="83"/>
      <c r="AL20" s="83"/>
    </row>
    <row r="21" spans="1:38" x14ac:dyDescent="0.35">
      <c r="A21" s="57"/>
      <c r="B21" s="82"/>
      <c r="C21" s="81"/>
      <c r="D21" s="81"/>
      <c r="E21" s="74" t="s">
        <v>66</v>
      </c>
      <c r="F21" s="71"/>
      <c r="G21" s="71"/>
      <c r="H21" s="71"/>
      <c r="I21" s="75"/>
      <c r="J21" s="76"/>
      <c r="K21" s="71"/>
      <c r="L21" s="71"/>
      <c r="M21" s="77"/>
      <c r="N21" s="71"/>
      <c r="O21" s="71"/>
      <c r="P21" s="71"/>
      <c r="Q21" s="71"/>
      <c r="R21" s="76"/>
      <c r="S21" s="71"/>
      <c r="T21" s="71" t="s">
        <v>20</v>
      </c>
      <c r="U21" s="77" t="s">
        <v>20</v>
      </c>
      <c r="V21" s="78" t="s">
        <v>20</v>
      </c>
      <c r="W21" s="71" t="s">
        <v>20</v>
      </c>
      <c r="X21" s="71" t="s">
        <v>20</v>
      </c>
      <c r="Y21" s="75"/>
      <c r="Z21" s="76"/>
      <c r="AA21" s="71"/>
      <c r="AB21" s="71"/>
      <c r="AC21" s="71"/>
      <c r="AD21" s="58"/>
      <c r="AJ21" s="32" t="s">
        <v>335</v>
      </c>
    </row>
    <row r="22" spans="1:38" x14ac:dyDescent="0.35">
      <c r="A22" s="57"/>
      <c r="B22" s="72" t="s">
        <v>88</v>
      </c>
      <c r="C22" s="73" t="s">
        <v>89</v>
      </c>
      <c r="D22" s="73" t="s">
        <v>90</v>
      </c>
      <c r="E22" s="74" t="s">
        <v>64</v>
      </c>
      <c r="F22" s="71"/>
      <c r="G22" s="71"/>
      <c r="H22" s="71"/>
      <c r="I22" s="75"/>
      <c r="J22" s="76"/>
      <c r="K22" s="71"/>
      <c r="L22" s="71"/>
      <c r="M22" s="77"/>
      <c r="N22" s="71"/>
      <c r="O22" s="71"/>
      <c r="P22" s="71"/>
      <c r="Q22" s="71"/>
      <c r="R22" s="76"/>
      <c r="S22" s="71"/>
      <c r="T22" s="71"/>
      <c r="U22" s="71"/>
      <c r="V22" s="78"/>
      <c r="W22" s="71"/>
      <c r="X22" s="71" t="s">
        <v>337</v>
      </c>
      <c r="Y22" s="75" t="s">
        <v>337</v>
      </c>
      <c r="Z22" s="76" t="s">
        <v>337</v>
      </c>
      <c r="AA22" s="71"/>
      <c r="AB22" s="71"/>
      <c r="AC22" s="71"/>
      <c r="AD22" s="58"/>
    </row>
    <row r="23" spans="1:38" x14ac:dyDescent="0.35">
      <c r="A23" s="57"/>
      <c r="B23" s="82"/>
      <c r="C23" s="81"/>
      <c r="D23" s="81"/>
      <c r="E23" s="74" t="s">
        <v>66</v>
      </c>
      <c r="F23" s="71"/>
      <c r="G23" s="71"/>
      <c r="H23" s="71"/>
      <c r="I23" s="75"/>
      <c r="J23" s="76"/>
      <c r="K23" s="71"/>
      <c r="L23" s="71"/>
      <c r="M23" s="77"/>
      <c r="N23" s="71"/>
      <c r="O23" s="71"/>
      <c r="P23" s="71"/>
      <c r="Q23" s="71"/>
      <c r="R23" s="76"/>
      <c r="S23" s="71"/>
      <c r="T23" s="71"/>
      <c r="U23" s="77"/>
      <c r="V23" s="78"/>
      <c r="W23" s="71"/>
      <c r="X23" s="71"/>
      <c r="Y23" s="75" t="s">
        <v>20</v>
      </c>
      <c r="Z23" s="76" t="s">
        <v>20</v>
      </c>
      <c r="AA23" s="71" t="s">
        <v>20</v>
      </c>
      <c r="AB23" s="71"/>
      <c r="AC23" s="71"/>
      <c r="AD23" s="58"/>
    </row>
    <row r="24" spans="1:38" x14ac:dyDescent="0.35">
      <c r="A24" s="57"/>
      <c r="B24" s="72" t="s">
        <v>91</v>
      </c>
      <c r="C24" s="73" t="s">
        <v>92</v>
      </c>
      <c r="D24" s="309" t="s">
        <v>93</v>
      </c>
      <c r="E24" s="74" t="s">
        <v>64</v>
      </c>
      <c r="F24" s="71"/>
      <c r="G24" s="71"/>
      <c r="H24" s="71"/>
      <c r="I24" s="75"/>
      <c r="J24" s="76"/>
      <c r="K24" s="71"/>
      <c r="L24" s="71"/>
      <c r="M24" s="71"/>
      <c r="N24" s="71"/>
      <c r="O24" s="71"/>
      <c r="P24" s="71"/>
      <c r="Q24" s="71"/>
      <c r="R24" s="76"/>
      <c r="S24" s="71"/>
      <c r="T24" s="71"/>
      <c r="U24" s="71"/>
      <c r="V24" s="78"/>
      <c r="W24" s="71"/>
      <c r="X24" s="71"/>
      <c r="Y24" s="75"/>
      <c r="Z24" s="76"/>
      <c r="AA24" s="71" t="s">
        <v>337</v>
      </c>
      <c r="AB24" s="71" t="s">
        <v>337</v>
      </c>
      <c r="AC24" s="71" t="s">
        <v>337</v>
      </c>
      <c r="AD24" s="58"/>
    </row>
    <row r="25" spans="1:38" x14ac:dyDescent="0.35">
      <c r="A25" s="57"/>
      <c r="B25" s="81"/>
      <c r="C25" s="81"/>
      <c r="D25" s="310"/>
      <c r="E25" s="74" t="s">
        <v>66</v>
      </c>
      <c r="F25" s="71"/>
      <c r="G25" s="71"/>
      <c r="H25" s="71"/>
      <c r="I25" s="75"/>
      <c r="J25" s="76"/>
      <c r="K25" s="71"/>
      <c r="L25" s="71"/>
      <c r="M25" s="71"/>
      <c r="N25" s="78"/>
      <c r="O25" s="71"/>
      <c r="P25" s="71"/>
      <c r="Q25" s="75"/>
      <c r="R25" s="76"/>
      <c r="S25" s="71"/>
      <c r="T25" s="71"/>
      <c r="U25" s="77"/>
      <c r="V25" s="78"/>
      <c r="W25" s="71"/>
      <c r="X25" s="71"/>
      <c r="Y25" s="75"/>
      <c r="Z25" s="76"/>
      <c r="AA25" s="71"/>
      <c r="AB25" s="71"/>
      <c r="AC25" s="71"/>
      <c r="AD25" s="58"/>
    </row>
    <row r="26" spans="1:38" x14ac:dyDescent="0.35">
      <c r="A26" s="57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58"/>
    </row>
    <row r="27" spans="1:38" x14ac:dyDescent="0.35">
      <c r="A27" s="57"/>
      <c r="D27" s="32" t="s">
        <v>94</v>
      </c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58"/>
    </row>
    <row r="28" spans="1:38" x14ac:dyDescent="0.35">
      <c r="A28" s="57"/>
      <c r="D28" s="85" t="s">
        <v>61</v>
      </c>
      <c r="E28" s="32" t="s">
        <v>95</v>
      </c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58"/>
    </row>
    <row r="29" spans="1:38" x14ac:dyDescent="0.35">
      <c r="A29" s="57"/>
      <c r="D29" s="85" t="s">
        <v>20</v>
      </c>
      <c r="E29" s="32" t="s">
        <v>96</v>
      </c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58"/>
    </row>
    <row r="30" spans="1:38" x14ac:dyDescent="0.35">
      <c r="A30" s="57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58"/>
    </row>
    <row r="31" spans="1:38" x14ac:dyDescent="0.35">
      <c r="A31" s="57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58"/>
    </row>
    <row r="32" spans="1:38" x14ac:dyDescent="0.35">
      <c r="A32" s="57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58"/>
    </row>
    <row r="33" spans="1:30" ht="15" thickBot="1" x14ac:dyDescent="0.4">
      <c r="A33" s="86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8"/>
    </row>
    <row r="34" spans="1:30" ht="15" thickTop="1" x14ac:dyDescent="0.35"/>
  </sheetData>
  <sheetProtection password="ED26" sheet="1" scenarios="1"/>
  <mergeCells count="11">
    <mergeCell ref="B6:B7"/>
    <mergeCell ref="C6:C7"/>
    <mergeCell ref="D6:E7"/>
    <mergeCell ref="F6:I6"/>
    <mergeCell ref="J6:M6"/>
    <mergeCell ref="F5:AC5"/>
    <mergeCell ref="D24:D25"/>
    <mergeCell ref="R6:U6"/>
    <mergeCell ref="V6:Y6"/>
    <mergeCell ref="Z6:AC6"/>
    <mergeCell ref="N6:Q6"/>
  </mergeCells>
  <conditionalFormatting sqref="V10:AC10">
    <cfRule type="cellIs" dxfId="77" priority="124" operator="equal">
      <formula>"P"</formula>
    </cfRule>
  </conditionalFormatting>
  <conditionalFormatting sqref="V10:AC10">
    <cfRule type="cellIs" dxfId="76" priority="123" operator="equal">
      <formula>"A"</formula>
    </cfRule>
  </conditionalFormatting>
  <conditionalFormatting sqref="V11:AC25">
    <cfRule type="cellIs" dxfId="75" priority="122" operator="equal">
      <formula>"P"</formula>
    </cfRule>
  </conditionalFormatting>
  <conditionalFormatting sqref="V11:AC25">
    <cfRule type="cellIs" dxfId="74" priority="121" operator="equal">
      <formula>"A"</formula>
    </cfRule>
  </conditionalFormatting>
  <conditionalFormatting sqref="F8">
    <cfRule type="cellIs" dxfId="73" priority="118" operator="equal">
      <formula>"P"</formula>
    </cfRule>
  </conditionalFormatting>
  <conditionalFormatting sqref="F8">
    <cfRule type="cellIs" dxfId="72" priority="117" operator="equal">
      <formula>"A"</formula>
    </cfRule>
  </conditionalFormatting>
  <conditionalFormatting sqref="G8">
    <cfRule type="cellIs" dxfId="71" priority="116" operator="equal">
      <formula>"P"</formula>
    </cfRule>
  </conditionalFormatting>
  <conditionalFormatting sqref="G8">
    <cfRule type="cellIs" dxfId="70" priority="115" operator="equal">
      <formula>"A"</formula>
    </cfRule>
  </conditionalFormatting>
  <conditionalFormatting sqref="G9">
    <cfRule type="cellIs" dxfId="69" priority="114" operator="equal">
      <formula>"P"</formula>
    </cfRule>
  </conditionalFormatting>
  <conditionalFormatting sqref="G9">
    <cfRule type="cellIs" dxfId="68" priority="113" operator="equal">
      <formula>"A"</formula>
    </cfRule>
  </conditionalFormatting>
  <conditionalFormatting sqref="H9">
    <cfRule type="cellIs" dxfId="67" priority="112" operator="equal">
      <formula>"P"</formula>
    </cfRule>
  </conditionalFormatting>
  <conditionalFormatting sqref="H9">
    <cfRule type="cellIs" dxfId="66" priority="111" operator="equal">
      <formula>"A"</formula>
    </cfRule>
  </conditionalFormatting>
  <conditionalFormatting sqref="H10:U10">
    <cfRule type="cellIs" dxfId="65" priority="86" operator="equal">
      <formula>"P"</formula>
    </cfRule>
  </conditionalFormatting>
  <conditionalFormatting sqref="H10:U10">
    <cfRule type="cellIs" dxfId="64" priority="85" operator="equal">
      <formula>"A"</formula>
    </cfRule>
  </conditionalFormatting>
  <conditionalFormatting sqref="J12:U12 F14:G15 K14:U14 F16:H17 M16:U16 F18:I19 Q18:U18 T20:U20 R22:S22 R24:T24 F12:F13 R23:U23 R21:U21 H11:I11 I13:U13 I15:U15 J17:U17 K18 K19:U19 F20:M23 F24:L25 N25:U25 K11:U11">
    <cfRule type="cellIs" dxfId="63" priority="84" operator="equal">
      <formula>"P"</formula>
    </cfRule>
  </conditionalFormatting>
  <conditionalFormatting sqref="J12:U12 F14:G15 K14:U14 F16:H17 M16:U16 F18:I19 Q18:U18 T20:U20 R22:S22 R24:T24 F12:F13 R23:U23 R21:U21 H11:I11 I13:U13 I15:U15 J17:U17 K18 K19:U19 F20:M23 F24:L25 N25:U25 K11:U11">
    <cfRule type="cellIs" dxfId="62" priority="83" operator="equal">
      <formula>"A"</formula>
    </cfRule>
  </conditionalFormatting>
  <conditionalFormatting sqref="R20:S20">
    <cfRule type="cellIs" dxfId="61" priority="72" operator="equal">
      <formula>"P"</formula>
    </cfRule>
  </conditionalFormatting>
  <conditionalFormatting sqref="R20:S20">
    <cfRule type="cellIs" dxfId="60" priority="71" operator="equal">
      <formula>"A"</formula>
    </cfRule>
  </conditionalFormatting>
  <conditionalFormatting sqref="T22">
    <cfRule type="cellIs" dxfId="59" priority="70" operator="equal">
      <formula>"P"</formula>
    </cfRule>
  </conditionalFormatting>
  <conditionalFormatting sqref="T22">
    <cfRule type="cellIs" dxfId="58" priority="69" operator="equal">
      <formula>"A"</formula>
    </cfRule>
  </conditionalFormatting>
  <conditionalFormatting sqref="U22">
    <cfRule type="cellIs" dxfId="57" priority="68" operator="equal">
      <formula>"P"</formula>
    </cfRule>
  </conditionalFormatting>
  <conditionalFormatting sqref="U22">
    <cfRule type="cellIs" dxfId="56" priority="67" operator="equal">
      <formula>"A"</formula>
    </cfRule>
  </conditionalFormatting>
  <conditionalFormatting sqref="U24">
    <cfRule type="cellIs" dxfId="55" priority="66" operator="equal">
      <formula>"P"</formula>
    </cfRule>
  </conditionalFormatting>
  <conditionalFormatting sqref="U24">
    <cfRule type="cellIs" dxfId="54" priority="65" operator="equal">
      <formula>"A"</formula>
    </cfRule>
  </conditionalFormatting>
  <conditionalFormatting sqref="P18">
    <cfRule type="cellIs" dxfId="53" priority="58" operator="equal">
      <formula>"P"</formula>
    </cfRule>
  </conditionalFormatting>
  <conditionalFormatting sqref="P18">
    <cfRule type="cellIs" dxfId="52" priority="57" operator="equal">
      <formula>"A"</formula>
    </cfRule>
  </conditionalFormatting>
  <conditionalFormatting sqref="O18">
    <cfRule type="cellIs" dxfId="51" priority="54" operator="equal">
      <formula>"P"</formula>
    </cfRule>
  </conditionalFormatting>
  <conditionalFormatting sqref="O18">
    <cfRule type="cellIs" dxfId="50" priority="53" operator="equal">
      <formula>"A"</formula>
    </cfRule>
  </conditionalFormatting>
  <conditionalFormatting sqref="I12">
    <cfRule type="cellIs" dxfId="49" priority="48" operator="equal">
      <formula>"P"</formula>
    </cfRule>
  </conditionalFormatting>
  <conditionalFormatting sqref="I12">
    <cfRule type="cellIs" dxfId="48" priority="47" operator="equal">
      <formula>"A"</formula>
    </cfRule>
  </conditionalFormatting>
  <conditionalFormatting sqref="I14">
    <cfRule type="cellIs" dxfId="47" priority="46" operator="equal">
      <formula>"P"</formula>
    </cfRule>
  </conditionalFormatting>
  <conditionalFormatting sqref="I14">
    <cfRule type="cellIs" dxfId="46" priority="45" operator="equal">
      <formula>"A"</formula>
    </cfRule>
  </conditionalFormatting>
  <conditionalFormatting sqref="J14">
    <cfRule type="cellIs" dxfId="45" priority="44" operator="equal">
      <formula>"P"</formula>
    </cfRule>
  </conditionalFormatting>
  <conditionalFormatting sqref="J14">
    <cfRule type="cellIs" dxfId="44" priority="43" operator="equal">
      <formula>"A"</formula>
    </cfRule>
  </conditionalFormatting>
  <conditionalFormatting sqref="J16">
    <cfRule type="cellIs" dxfId="43" priority="42" operator="equal">
      <formula>"P"</formula>
    </cfRule>
  </conditionalFormatting>
  <conditionalFormatting sqref="J16">
    <cfRule type="cellIs" dxfId="42" priority="41" operator="equal">
      <formula>"A"</formula>
    </cfRule>
  </conditionalFormatting>
  <conditionalFormatting sqref="K16">
    <cfRule type="cellIs" dxfId="41" priority="40" operator="equal">
      <formula>"P"</formula>
    </cfRule>
  </conditionalFormatting>
  <conditionalFormatting sqref="K16">
    <cfRule type="cellIs" dxfId="40" priority="39" operator="equal">
      <formula>"A"</formula>
    </cfRule>
  </conditionalFormatting>
  <conditionalFormatting sqref="L16">
    <cfRule type="cellIs" dxfId="39" priority="38" operator="equal">
      <formula>"P"</formula>
    </cfRule>
  </conditionalFormatting>
  <conditionalFormatting sqref="L16">
    <cfRule type="cellIs" dxfId="38" priority="37" operator="equal">
      <formula>"A"</formula>
    </cfRule>
  </conditionalFormatting>
  <conditionalFormatting sqref="L18:N18">
    <cfRule type="cellIs" dxfId="37" priority="36" operator="equal">
      <formula>"P"</formula>
    </cfRule>
  </conditionalFormatting>
  <conditionalFormatting sqref="L18:N18">
    <cfRule type="cellIs" dxfId="36" priority="35" operator="equal">
      <formula>"A"</formula>
    </cfRule>
  </conditionalFormatting>
  <conditionalFormatting sqref="N20:Q24">
    <cfRule type="cellIs" dxfId="35" priority="34" operator="equal">
      <formula>"P"</formula>
    </cfRule>
  </conditionalFormatting>
  <conditionalFormatting sqref="N20:Q24">
    <cfRule type="cellIs" dxfId="34" priority="33" operator="equal">
      <formula>"A"</formula>
    </cfRule>
  </conditionalFormatting>
  <conditionalFormatting sqref="G10">
    <cfRule type="cellIs" dxfId="33" priority="32" operator="equal">
      <formula>"P"</formula>
    </cfRule>
  </conditionalFormatting>
  <conditionalFormatting sqref="G10">
    <cfRule type="cellIs" dxfId="32" priority="31" operator="equal">
      <formula>"A"</formula>
    </cfRule>
  </conditionalFormatting>
  <conditionalFormatting sqref="G11">
    <cfRule type="cellIs" dxfId="31" priority="30" operator="equal">
      <formula>"P"</formula>
    </cfRule>
  </conditionalFormatting>
  <conditionalFormatting sqref="G11">
    <cfRule type="cellIs" dxfId="30" priority="29" operator="equal">
      <formula>"A"</formula>
    </cfRule>
  </conditionalFormatting>
  <conditionalFormatting sqref="H13">
    <cfRule type="cellIs" dxfId="29" priority="28" operator="equal">
      <formula>"P"</formula>
    </cfRule>
  </conditionalFormatting>
  <conditionalFormatting sqref="H13">
    <cfRule type="cellIs" dxfId="28" priority="27" operator="equal">
      <formula>"A"</formula>
    </cfRule>
  </conditionalFormatting>
  <conditionalFormatting sqref="H12">
    <cfRule type="cellIs" dxfId="27" priority="26" operator="equal">
      <formula>"P"</formula>
    </cfRule>
  </conditionalFormatting>
  <conditionalFormatting sqref="H12">
    <cfRule type="cellIs" dxfId="26" priority="25" operator="equal">
      <formula>"A"</formula>
    </cfRule>
  </conditionalFormatting>
  <conditionalFormatting sqref="F10">
    <cfRule type="cellIs" dxfId="25" priority="24" operator="equal">
      <formula>"P"</formula>
    </cfRule>
  </conditionalFormatting>
  <conditionalFormatting sqref="F10">
    <cfRule type="cellIs" dxfId="24" priority="23" operator="equal">
      <formula>"A"</formula>
    </cfRule>
  </conditionalFormatting>
  <conditionalFormatting sqref="F11">
    <cfRule type="cellIs" dxfId="23" priority="22" operator="equal">
      <formula>"P"</formula>
    </cfRule>
  </conditionalFormatting>
  <conditionalFormatting sqref="F11">
    <cfRule type="cellIs" dxfId="22" priority="21" operator="equal">
      <formula>"A"</formula>
    </cfRule>
  </conditionalFormatting>
  <conditionalFormatting sqref="G13">
    <cfRule type="cellIs" dxfId="21" priority="20" operator="equal">
      <formula>"P"</formula>
    </cfRule>
  </conditionalFormatting>
  <conditionalFormatting sqref="G13">
    <cfRule type="cellIs" dxfId="20" priority="19" operator="equal">
      <formula>"A"</formula>
    </cfRule>
  </conditionalFormatting>
  <conditionalFormatting sqref="G12">
    <cfRule type="cellIs" dxfId="19" priority="18" operator="equal">
      <formula>"P"</formula>
    </cfRule>
  </conditionalFormatting>
  <conditionalFormatting sqref="G12">
    <cfRule type="cellIs" dxfId="18" priority="17" operator="equal">
      <formula>"A"</formula>
    </cfRule>
  </conditionalFormatting>
  <conditionalFormatting sqref="H15">
    <cfRule type="cellIs" dxfId="17" priority="16" operator="equal">
      <formula>"P"</formula>
    </cfRule>
  </conditionalFormatting>
  <conditionalFormatting sqref="H15">
    <cfRule type="cellIs" dxfId="16" priority="15" operator="equal">
      <formula>"A"</formula>
    </cfRule>
  </conditionalFormatting>
  <conditionalFormatting sqref="H14">
    <cfRule type="cellIs" dxfId="15" priority="14" operator="equal">
      <formula>"P"</formula>
    </cfRule>
  </conditionalFormatting>
  <conditionalFormatting sqref="H14">
    <cfRule type="cellIs" dxfId="14" priority="13" operator="equal">
      <formula>"A"</formula>
    </cfRule>
  </conditionalFormatting>
  <conditionalFormatting sqref="I17">
    <cfRule type="cellIs" dxfId="13" priority="12" operator="equal">
      <formula>"P"</formula>
    </cfRule>
  </conditionalFormatting>
  <conditionalFormatting sqref="I17">
    <cfRule type="cellIs" dxfId="12" priority="11" operator="equal">
      <formula>"A"</formula>
    </cfRule>
  </conditionalFormatting>
  <conditionalFormatting sqref="I16">
    <cfRule type="cellIs" dxfId="11" priority="10" operator="equal">
      <formula>"P"</formula>
    </cfRule>
  </conditionalFormatting>
  <conditionalFormatting sqref="I16">
    <cfRule type="cellIs" dxfId="10" priority="9" operator="equal">
      <formula>"A"</formula>
    </cfRule>
  </conditionalFormatting>
  <conditionalFormatting sqref="J19">
    <cfRule type="cellIs" dxfId="9" priority="8" operator="equal">
      <formula>"P"</formula>
    </cfRule>
  </conditionalFormatting>
  <conditionalFormatting sqref="J19">
    <cfRule type="cellIs" dxfId="8" priority="7" operator="equal">
      <formula>"A"</formula>
    </cfRule>
  </conditionalFormatting>
  <conditionalFormatting sqref="J18">
    <cfRule type="cellIs" dxfId="7" priority="6" operator="equal">
      <formula>"P"</formula>
    </cfRule>
  </conditionalFormatting>
  <conditionalFormatting sqref="J18">
    <cfRule type="cellIs" dxfId="6" priority="5" operator="equal">
      <formula>"A"</formula>
    </cfRule>
  </conditionalFormatting>
  <conditionalFormatting sqref="M24:M25">
    <cfRule type="cellIs" dxfId="5" priority="4" operator="equal">
      <formula>"P"</formula>
    </cfRule>
  </conditionalFormatting>
  <conditionalFormatting sqref="M24:M25">
    <cfRule type="cellIs" dxfId="4" priority="3" operator="equal">
      <formula>"A"</formula>
    </cfRule>
  </conditionalFormatting>
  <conditionalFormatting sqref="J11">
    <cfRule type="cellIs" dxfId="3" priority="2" operator="equal">
      <formula>"P"</formula>
    </cfRule>
  </conditionalFormatting>
  <conditionalFormatting sqref="J11">
    <cfRule type="cellIs" dxfId="2" priority="1" operator="equal">
      <formula>"A"</formula>
    </cfRule>
  </conditionalFormatting>
  <dataValidations disablePrompts="1" count="9">
    <dataValidation allowBlank="1" showInputMessage="1" showErrorMessage="1" promptTitle="Plan" prompt="Buatlah garis putus-putus atau berikan warna pada cell sesuai dengan target yang direncanakan" sqref="E8"/>
    <dataValidation allowBlank="1" showInputMessage="1" showErrorMessage="1" promptTitle="Actual" prompt="Buatlah garis atau berikan warna pada cell disesuaikan dengan realisasi pelaksanaan step QCC" sqref="E9 E26:E32"/>
    <dataValidation allowBlank="1" showInputMessage="1" showErrorMessage="1" prompt="Diisi dengan Minggu ke-berapa dalam bulan berjalan._x000a_Disesuaikan dengan Bulan di atas." sqref="F9 I8:AC9 H8"/>
    <dataValidation type="list" allowBlank="1" showInputMessage="1" showErrorMessage="1" sqref="G9:H9 F8:G8 F10:AC25">
      <formula1>$AL$7:$AL$8</formula1>
    </dataValidation>
    <dataValidation type="list" allowBlank="1" showInputMessage="1" showErrorMessage="1" sqref="F5:AC5">
      <formula1>$AJ$7:$AJ$21</formula1>
    </dataValidation>
    <dataValidation type="list" allowBlank="1" showInputMessage="1" showErrorMessage="1" prompt="Diisi dengan nama bulan" sqref="F6:AC6">
      <formula1>$AK$7:$AK$19</formula1>
    </dataValidation>
    <dataValidation allowBlank="1" showErrorMessage="1" promptTitle="Plan" prompt="Buatlah garis putus-putus atau berikan warna pada cell sesuai dengan target yang direncanakan" sqref="E10 E12 E14 E16 E18 E20 E22 E24"/>
    <dataValidation allowBlank="1" showErrorMessage="1" promptTitle="Actual" prompt="Buatlah garis atau berikan warna pada cell disesuaikan dengan realisasi pelaksanaan step QCC" sqref="E11 E13 E15 E17 E19 E21 E23 E25"/>
    <dataValidation allowBlank="1" showErrorMessage="1" prompt="Diisi dengan Minggu ke-berapa dalam bulan berjalan._x000a_Disesuaikan dengan Bulan di atas." sqref="F7:AC7"/>
  </dataValidations>
  <printOptions horizontalCentered="1"/>
  <pageMargins left="0.45" right="0.45" top="0.5" bottom="0.75" header="0.3" footer="0.3"/>
  <pageSetup paperSize="9" scale="90" orientation="landscape" r:id="rId1"/>
  <headerFooter>
    <oddFooter>&amp;R&amp;"Palatino Linotype,Italic"&amp;10Lampiran Kertas Kerja QCC-QCP Rev.2(191213)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I42"/>
  <sheetViews>
    <sheetView showGridLines="0" view="pageBreakPreview" topLeftCell="A5" zoomScaleNormal="90" zoomScaleSheetLayoutView="100" workbookViewId="0">
      <selection activeCell="K11" sqref="K11"/>
    </sheetView>
  </sheetViews>
  <sheetFormatPr defaultColWidth="9.1796875" defaultRowHeight="14.5" x14ac:dyDescent="0.35"/>
  <cols>
    <col min="1" max="1" width="4.7265625" style="39" customWidth="1"/>
    <col min="2" max="2" width="22.7265625" style="39" customWidth="1"/>
    <col min="3" max="3" width="10.7265625" style="39" customWidth="1"/>
    <col min="4" max="4" width="10.1796875" style="39" customWidth="1"/>
    <col min="5" max="5" width="8" style="39" bestFit="1" customWidth="1"/>
    <col min="6" max="6" width="10" style="39" customWidth="1"/>
    <col min="7" max="7" width="11" style="39" customWidth="1"/>
    <col min="8" max="8" width="8.1796875" style="39" customWidth="1"/>
    <col min="9" max="9" width="7.453125" style="39" customWidth="1"/>
    <col min="10" max="16384" width="9.1796875" style="39"/>
  </cols>
  <sheetData>
    <row r="1" spans="1:9" ht="19" thickTop="1" x14ac:dyDescent="0.35">
      <c r="A1" s="36"/>
      <c r="B1" s="37"/>
      <c r="C1" s="37"/>
      <c r="D1" s="37"/>
      <c r="E1" s="37"/>
      <c r="F1" s="37"/>
      <c r="G1" s="37"/>
      <c r="H1" s="37"/>
      <c r="I1" s="38"/>
    </row>
    <row r="2" spans="1:9" ht="18.5" x14ac:dyDescent="0.35">
      <c r="A2" s="40"/>
      <c r="B2" s="41" t="s">
        <v>97</v>
      </c>
      <c r="I2" s="42"/>
    </row>
    <row r="3" spans="1:9" x14ac:dyDescent="0.35">
      <c r="A3" s="40"/>
      <c r="I3" s="42"/>
    </row>
    <row r="4" spans="1:9" x14ac:dyDescent="0.35">
      <c r="A4" s="40"/>
      <c r="I4" s="42"/>
    </row>
    <row r="5" spans="1:9" ht="36" customHeight="1" x14ac:dyDescent="0.35">
      <c r="A5" s="324" t="s">
        <v>98</v>
      </c>
      <c r="B5" s="326" t="s">
        <v>99</v>
      </c>
      <c r="C5" s="328" t="s">
        <v>100</v>
      </c>
      <c r="D5" s="328" t="s">
        <v>101</v>
      </c>
      <c r="E5" s="100" t="s">
        <v>102</v>
      </c>
      <c r="F5" s="100" t="s">
        <v>103</v>
      </c>
      <c r="G5" s="100" t="s">
        <v>104</v>
      </c>
      <c r="H5" s="322" t="s">
        <v>105</v>
      </c>
      <c r="I5" s="42"/>
    </row>
    <row r="6" spans="1:9" ht="17.25" customHeight="1" x14ac:dyDescent="0.35">
      <c r="A6" s="325"/>
      <c r="B6" s="327"/>
      <c r="C6" s="329"/>
      <c r="D6" s="329"/>
      <c r="E6" s="43" t="s">
        <v>106</v>
      </c>
      <c r="F6" s="43" t="s">
        <v>106</v>
      </c>
      <c r="G6" s="43" t="s">
        <v>106</v>
      </c>
      <c r="H6" s="323"/>
      <c r="I6" s="42"/>
    </row>
    <row r="7" spans="1:9" ht="21" customHeight="1" x14ac:dyDescent="0.35">
      <c r="A7" s="44" t="s">
        <v>26</v>
      </c>
      <c r="B7" s="51" t="str" cm="1">
        <f t="array" ref="B7:C7">'PROFIL QCC'!D20:E20</f>
        <v>Aulia</v>
      </c>
      <c r="C7" s="45">
        <v>0</v>
      </c>
      <c r="D7" s="45"/>
      <c r="E7" s="45"/>
      <c r="F7" s="45"/>
      <c r="G7" s="45"/>
      <c r="H7" s="52" t="str">
        <f>IF(E7="","",SUM(E7:G7)*5)</f>
        <v/>
      </c>
      <c r="I7" s="42"/>
    </row>
    <row r="8" spans="1:9" ht="21" customHeight="1" x14ac:dyDescent="0.35">
      <c r="A8" s="44" t="s">
        <v>27</v>
      </c>
      <c r="B8" s="51" t="str" cm="1">
        <f t="array" ref="B8:C8">'PROFIL QCC'!D24:E24</f>
        <v>b</v>
      </c>
      <c r="C8" s="45">
        <v>0</v>
      </c>
      <c r="D8" s="45"/>
      <c r="E8" s="45"/>
      <c r="F8" s="45"/>
      <c r="G8" s="45"/>
      <c r="H8" s="52" t="str">
        <f t="shared" ref="H8:H15" si="0">IF(E8="","",SUM(E8:G8)*5)</f>
        <v/>
      </c>
      <c r="I8" s="42"/>
    </row>
    <row r="9" spans="1:9" ht="21" customHeight="1" x14ac:dyDescent="0.35">
      <c r="A9" s="44" t="s">
        <v>28</v>
      </c>
      <c r="B9" s="51" t="str" cm="1">
        <f t="array" ref="B9:C9">'PROFIL QCC'!D22:E22</f>
        <v>Mitra</v>
      </c>
      <c r="C9" s="45">
        <v>0</v>
      </c>
      <c r="D9" s="45"/>
      <c r="E9" s="45"/>
      <c r="F9" s="45"/>
      <c r="G9" s="45"/>
      <c r="H9" s="52" t="str">
        <f t="shared" si="0"/>
        <v/>
      </c>
      <c r="I9" s="42"/>
    </row>
    <row r="10" spans="1:9" ht="21" customHeight="1" x14ac:dyDescent="0.35">
      <c r="A10" s="44" t="s">
        <v>29</v>
      </c>
      <c r="B10" s="51" t="str" cm="1">
        <f t="array" ref="B10:C10">'PROFIL QCC'!D27:E27</f>
        <v xml:space="preserve">Anugrah Sandi </v>
      </c>
      <c r="C10" s="45">
        <v>0</v>
      </c>
      <c r="D10" s="45"/>
      <c r="E10" s="45"/>
      <c r="F10" s="45"/>
      <c r="G10" s="45"/>
      <c r="H10" s="52" t="str">
        <f t="shared" si="0"/>
        <v/>
      </c>
      <c r="I10" s="42"/>
    </row>
    <row r="11" spans="1:9" ht="21" customHeight="1" x14ac:dyDescent="0.35">
      <c r="A11" s="44" t="s">
        <v>30</v>
      </c>
      <c r="B11" s="51" t="str" cm="1">
        <f t="array" ref="B11:C11">'PROFIL QCC'!D29:E29</f>
        <v>Site Mill</v>
      </c>
      <c r="C11" s="45">
        <v>0</v>
      </c>
      <c r="D11" s="45"/>
      <c r="E11" s="45"/>
      <c r="F11" s="45"/>
      <c r="G11" s="45"/>
      <c r="H11" s="52" t="str">
        <f t="shared" si="0"/>
        <v/>
      </c>
      <c r="I11" s="42"/>
    </row>
    <row r="12" spans="1:9" ht="21" customHeight="1" x14ac:dyDescent="0.35">
      <c r="A12" s="44" t="s">
        <v>32</v>
      </c>
      <c r="B12" s="51" t="str" cm="1">
        <f t="array" ref="B12:C12">'PROFIL QCC'!D31:E31</f>
        <v>CSR Site</v>
      </c>
      <c r="C12" s="45">
        <v>0</v>
      </c>
      <c r="D12" s="45"/>
      <c r="E12" s="45"/>
      <c r="F12" s="45"/>
      <c r="G12" s="45"/>
      <c r="H12" s="52" t="str">
        <f t="shared" si="0"/>
        <v/>
      </c>
      <c r="I12" s="42"/>
    </row>
    <row r="13" spans="1:9" ht="21" customHeight="1" x14ac:dyDescent="0.35">
      <c r="A13" s="44" t="s">
        <v>107</v>
      </c>
      <c r="B13" s="51" t="str" cm="1">
        <f t="array" ref="B13:C13">'PROFIL QCC'!D33:E33</f>
        <v>D</v>
      </c>
      <c r="C13" s="45">
        <v>0</v>
      </c>
      <c r="D13" s="45"/>
      <c r="E13" s="45"/>
      <c r="F13" s="45"/>
      <c r="G13" s="45"/>
      <c r="H13" s="52" t="str">
        <f t="shared" si="0"/>
        <v/>
      </c>
      <c r="I13" s="42"/>
    </row>
    <row r="14" spans="1:9" ht="21" customHeight="1" x14ac:dyDescent="0.35">
      <c r="A14" s="44" t="s">
        <v>108</v>
      </c>
      <c r="B14" s="51" t="str" cm="1">
        <f t="array" ref="B14:C14">'PROFIL QCC'!D35:E35</f>
        <v>E</v>
      </c>
      <c r="C14" s="45">
        <v>0</v>
      </c>
      <c r="D14" s="45"/>
      <c r="E14" s="45"/>
      <c r="F14" s="45"/>
      <c r="G14" s="45"/>
      <c r="H14" s="52" t="str">
        <f t="shared" si="0"/>
        <v/>
      </c>
      <c r="I14" s="42"/>
    </row>
    <row r="15" spans="1:9" ht="21" customHeight="1" x14ac:dyDescent="0.35">
      <c r="A15" s="44" t="s">
        <v>109</v>
      </c>
      <c r="B15" s="51" t="str" cm="1">
        <f t="array" ref="B15:C15">'PROFIL QCC'!D37:E37</f>
        <v>F</v>
      </c>
      <c r="C15" s="45">
        <v>0</v>
      </c>
      <c r="D15" s="45"/>
      <c r="E15" s="45"/>
      <c r="F15" s="45"/>
      <c r="G15" s="45"/>
      <c r="H15" s="52" t="str">
        <f t="shared" si="0"/>
        <v/>
      </c>
      <c r="I15" s="42"/>
    </row>
    <row r="16" spans="1:9" ht="21" customHeight="1" x14ac:dyDescent="0.35">
      <c r="A16" s="320" t="s">
        <v>110</v>
      </c>
      <c r="B16" s="321"/>
      <c r="C16" s="46">
        <f t="shared" ref="C16:H16" si="1">IF(C7="","",AVERAGE(C7:C15))</f>
        <v>0</v>
      </c>
      <c r="D16" s="46" t="str">
        <f t="shared" si="1"/>
        <v/>
      </c>
      <c r="E16" s="101" t="str">
        <f t="shared" si="1"/>
        <v/>
      </c>
      <c r="F16" s="46" t="str">
        <f t="shared" si="1"/>
        <v/>
      </c>
      <c r="G16" s="46" t="str">
        <f t="shared" si="1"/>
        <v/>
      </c>
      <c r="H16" s="102" t="str">
        <f t="shared" si="1"/>
        <v/>
      </c>
      <c r="I16" s="42"/>
    </row>
    <row r="17" spans="1:9" ht="21.75" customHeight="1" x14ac:dyDescent="0.35">
      <c r="A17" s="47" t="s">
        <v>111</v>
      </c>
      <c r="I17" s="42"/>
    </row>
    <row r="18" spans="1:9" x14ac:dyDescent="0.35">
      <c r="A18" s="40"/>
      <c r="I18" s="42"/>
    </row>
    <row r="19" spans="1:9" x14ac:dyDescent="0.35">
      <c r="A19" s="40"/>
      <c r="I19" s="42"/>
    </row>
    <row r="20" spans="1:9" x14ac:dyDescent="0.35">
      <c r="A20" s="40"/>
      <c r="B20" s="319"/>
      <c r="C20" s="319"/>
      <c r="D20" s="319"/>
      <c r="I20" s="42"/>
    </row>
    <row r="21" spans="1:9" x14ac:dyDescent="0.35">
      <c r="A21" s="40"/>
      <c r="I21" s="42"/>
    </row>
    <row r="22" spans="1:9" x14ac:dyDescent="0.35">
      <c r="A22" s="40"/>
      <c r="I22" s="42"/>
    </row>
    <row r="23" spans="1:9" x14ac:dyDescent="0.35">
      <c r="A23" s="40"/>
      <c r="I23" s="42"/>
    </row>
    <row r="24" spans="1:9" x14ac:dyDescent="0.35">
      <c r="A24" s="40"/>
      <c r="I24" s="42"/>
    </row>
    <row r="25" spans="1:9" x14ac:dyDescent="0.35">
      <c r="A25" s="40"/>
      <c r="I25" s="42"/>
    </row>
    <row r="26" spans="1:9" x14ac:dyDescent="0.35">
      <c r="A26" s="40"/>
      <c r="I26" s="42"/>
    </row>
    <row r="27" spans="1:9" x14ac:dyDescent="0.35">
      <c r="A27" s="40"/>
      <c r="I27" s="42"/>
    </row>
    <row r="28" spans="1:9" x14ac:dyDescent="0.35">
      <c r="A28" s="40"/>
      <c r="I28" s="42"/>
    </row>
    <row r="29" spans="1:9" x14ac:dyDescent="0.35">
      <c r="A29" s="40"/>
      <c r="I29" s="42"/>
    </row>
    <row r="30" spans="1:9" x14ac:dyDescent="0.35">
      <c r="A30" s="40"/>
      <c r="I30" s="42"/>
    </row>
    <row r="31" spans="1:9" x14ac:dyDescent="0.35">
      <c r="A31" s="40"/>
      <c r="I31" s="42"/>
    </row>
    <row r="32" spans="1:9" x14ac:dyDescent="0.35">
      <c r="A32" s="40"/>
      <c r="I32" s="42"/>
    </row>
    <row r="33" spans="1:9" x14ac:dyDescent="0.35">
      <c r="A33" s="40"/>
      <c r="I33" s="42"/>
    </row>
    <row r="34" spans="1:9" x14ac:dyDescent="0.35">
      <c r="A34" s="40"/>
      <c r="I34" s="42"/>
    </row>
    <row r="35" spans="1:9" x14ac:dyDescent="0.35">
      <c r="A35" s="40"/>
      <c r="I35" s="42"/>
    </row>
    <row r="36" spans="1:9" x14ac:dyDescent="0.35">
      <c r="A36" s="40"/>
      <c r="I36" s="42"/>
    </row>
    <row r="37" spans="1:9" x14ac:dyDescent="0.35">
      <c r="A37" s="40"/>
      <c r="I37" s="42"/>
    </row>
    <row r="38" spans="1:9" x14ac:dyDescent="0.35">
      <c r="A38" s="40"/>
      <c r="I38" s="42"/>
    </row>
    <row r="39" spans="1:9" x14ac:dyDescent="0.35">
      <c r="A39" s="40"/>
      <c r="I39" s="42"/>
    </row>
    <row r="40" spans="1:9" x14ac:dyDescent="0.35">
      <c r="A40" s="40"/>
      <c r="I40" s="42"/>
    </row>
    <row r="41" spans="1:9" ht="15" thickBot="1" x14ac:dyDescent="0.4">
      <c r="A41" s="48"/>
      <c r="B41" s="49"/>
      <c r="C41" s="49"/>
      <c r="D41" s="49"/>
      <c r="E41" s="49"/>
      <c r="F41" s="49"/>
      <c r="G41" s="49"/>
      <c r="H41" s="49"/>
      <c r="I41" s="50"/>
    </row>
    <row r="42" spans="1:9" ht="15" thickTop="1" x14ac:dyDescent="0.35"/>
  </sheetData>
  <mergeCells count="7">
    <mergeCell ref="B20:D20"/>
    <mergeCell ref="A16:B16"/>
    <mergeCell ref="H5:H6"/>
    <mergeCell ref="A5:A6"/>
    <mergeCell ref="B5:B6"/>
    <mergeCell ref="C5:C6"/>
    <mergeCell ref="D5:D6"/>
  </mergeCells>
  <dataValidations count="8">
    <dataValidation allowBlank="1" showInputMessage="1" showErrorMessage="1" prompt="Diisi nama-nama" sqref="B5"/>
    <dataValidation allowBlank="1" showErrorMessage="1" prompt="Isilah dengan angka_x000a_skala 1 - 10_x000a_(sesuai dengan test yang dilakukan oleh Fasilitator)" sqref="C5:D5"/>
    <dataValidation allowBlank="1" showInputMessage="1" showErrorMessage="1" prompt="Isilah kolom ini dengan usia dari masing masing nama" sqref="C7:C15"/>
    <dataValidation allowBlank="1" showInputMessage="1" showErrorMessage="1" prompt="Isilah dengan masa kerja (tahun) dari masing masing nama" sqref="D7:D15"/>
    <dataValidation allowBlank="1" showInputMessage="1" showErrorMessage="1" prompt="Isilah dengan angka_x000a_skala 1 - 10_x000a_(sesuai dengan test yang dilakukan oleh Fasilitator)" sqref="H5"/>
    <dataValidation allowBlank="1" showInputMessage="1" showErrorMessage="1" prompt="Isilah dengan jumlah hasil test yang benar saja dari test yang sudah dilakukan (hanya kategori test &quot;7 alat&quot;)" sqref="E7:E15"/>
    <dataValidation allowBlank="1" showInputMessage="1" showErrorMessage="1" prompt="Isilah dengan jumlah hasil test yang benar saja dari test yang sudah dilakukan (hanya kategori test &quot;8 langkah&quot;)" sqref="F7:F15"/>
    <dataValidation allowBlank="1" showInputMessage="1" showErrorMessage="1" prompt="Isilah dengan jumlah hasil test yang benar saja dari test yang sudah dilakukan (hanya kategori test &quot;Soal cerita/pemahaman&quot;)" sqref="G7:G15"/>
  </dataValidations>
  <printOptions horizontalCentered="1" verticalCentered="1"/>
  <pageMargins left="0.4" right="0.4" top="0.5" bottom="0.5" header="0.3" footer="0.3"/>
  <pageSetup paperSize="9" orientation="portrait" r:id="rId1"/>
  <headerFooter>
    <oddFooter>&amp;R&amp;"Palatino Linotype,Italic"&amp;10Lampiran Kertas Kerja QCC-QCP Rev.2(191213)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22"/>
  <sheetViews>
    <sheetView workbookViewId="0">
      <selection activeCell="S6" sqref="S6"/>
    </sheetView>
  </sheetViews>
  <sheetFormatPr defaultColWidth="9.1796875" defaultRowHeight="14.5" x14ac:dyDescent="0.35"/>
  <cols>
    <col min="1" max="1" width="9.1796875" style="32" customWidth="1"/>
    <col min="2" max="2" width="15.26953125" style="32" bestFit="1" customWidth="1"/>
    <col min="3" max="17" width="9.1796875" style="32"/>
    <col min="18" max="18" width="8.453125" style="32" bestFit="1" customWidth="1"/>
    <col min="19" max="19" width="32.453125" style="32" bestFit="1" customWidth="1"/>
    <col min="20" max="16384" width="9.1796875" style="32"/>
  </cols>
  <sheetData>
    <row r="1" spans="1:19" x14ac:dyDescent="0.35">
      <c r="A1" s="204" t="s">
        <v>112</v>
      </c>
      <c r="B1" s="84">
        <v>1</v>
      </c>
    </row>
    <row r="4" spans="1:19" x14ac:dyDescent="0.35">
      <c r="A4" s="204" t="s">
        <v>113</v>
      </c>
      <c r="B4" s="204" t="s">
        <v>114</v>
      </c>
      <c r="R4" s="203" t="str">
        <f>Rumus!A4</f>
        <v xml:space="preserve">Faktor </v>
      </c>
      <c r="S4" s="203" t="str">
        <f>Rumus!B4</f>
        <v>Kondisi Aktual</v>
      </c>
    </row>
    <row r="5" spans="1:19" x14ac:dyDescent="0.35">
      <c r="A5" s="32" t="s">
        <v>115</v>
      </c>
      <c r="B5" s="32" t="s">
        <v>22</v>
      </c>
      <c r="R5" s="203" t="str">
        <f>IF(S5="","",IF(Rumus!A5=0,R4,Rumus!A5))</f>
        <v>Material</v>
      </c>
      <c r="S5" s="203" t="str">
        <f>IF(Rumus!B5="","",Rumus!B5)</f>
        <v>C</v>
      </c>
    </row>
    <row r="6" spans="1:19" x14ac:dyDescent="0.35">
      <c r="A6" s="32" t="s">
        <v>116</v>
      </c>
      <c r="B6" s="32" t="s">
        <v>15</v>
      </c>
      <c r="R6" s="203" t="str">
        <f>IF(S6="","",IF(Rumus!A6=0,R5,Rumus!A6))</f>
        <v>Metode</v>
      </c>
      <c r="S6" s="203" t="str">
        <f>IF(Rumus!B6="","",Rumus!B6)</f>
        <v>B</v>
      </c>
    </row>
    <row r="7" spans="1:19" x14ac:dyDescent="0.35">
      <c r="A7"/>
      <c r="B7"/>
      <c r="C7"/>
      <c r="D7"/>
      <c r="E7"/>
      <c r="F7"/>
      <c r="G7"/>
      <c r="H7"/>
      <c r="R7" s="203" t="str">
        <f>IF(S7="","",IF(Rumus!A7=0,R6,Rumus!A7))</f>
        <v/>
      </c>
      <c r="S7" s="203" t="str">
        <f>IF(Rumus!B7="","",Rumus!B7)</f>
        <v/>
      </c>
    </row>
    <row r="8" spans="1:19" x14ac:dyDescent="0.35">
      <c r="A8"/>
      <c r="B8"/>
      <c r="C8"/>
      <c r="D8"/>
      <c r="E8"/>
      <c r="F8"/>
      <c r="G8"/>
      <c r="H8"/>
      <c r="R8" s="203" t="str">
        <f>IF(S8="","",IF(Rumus!A8=0,R7,Rumus!A8))</f>
        <v/>
      </c>
      <c r="S8" s="203" t="str">
        <f>IF(Rumus!B8="","",Rumus!B8)</f>
        <v/>
      </c>
    </row>
    <row r="9" spans="1:19" x14ac:dyDescent="0.35">
      <c r="A9"/>
      <c r="B9"/>
      <c r="C9"/>
      <c r="D9"/>
      <c r="E9"/>
      <c r="F9"/>
      <c r="G9"/>
      <c r="H9"/>
      <c r="R9" s="203" t="str">
        <f>IF(S9="","",IF(Rumus!A9=0,R8,Rumus!A9))</f>
        <v/>
      </c>
      <c r="S9" s="203" t="str">
        <f>IF(Rumus!B9="","",Rumus!B9)</f>
        <v/>
      </c>
    </row>
    <row r="10" spans="1:19" x14ac:dyDescent="0.35">
      <c r="A10"/>
      <c r="B10"/>
      <c r="C10"/>
      <c r="D10"/>
      <c r="E10"/>
      <c r="F10"/>
      <c r="G10"/>
      <c r="H10"/>
      <c r="R10" s="203" t="str">
        <f>IF(S10="","",IF(Rumus!A10=0,R9,Rumus!A10))</f>
        <v/>
      </c>
      <c r="S10" s="203" t="str">
        <f>IF(Rumus!B10="","",Rumus!B10)</f>
        <v/>
      </c>
    </row>
    <row r="11" spans="1:19" x14ac:dyDescent="0.35">
      <c r="A11"/>
      <c r="B11"/>
      <c r="C11"/>
      <c r="D11"/>
      <c r="E11"/>
      <c r="F11"/>
      <c r="G11"/>
      <c r="H11"/>
      <c r="R11" s="203" t="str">
        <f>IF(S11="","",IF(Rumus!A11=0,R10,Rumus!A11))</f>
        <v/>
      </c>
      <c r="S11" s="203" t="str">
        <f>IF(Rumus!B11="","",Rumus!B11)</f>
        <v/>
      </c>
    </row>
    <row r="12" spans="1:19" x14ac:dyDescent="0.35">
      <c r="A12"/>
      <c r="B12"/>
      <c r="C12"/>
      <c r="D12"/>
      <c r="E12"/>
      <c r="F12"/>
      <c r="G12"/>
      <c r="H12"/>
      <c r="R12" s="203" t="str">
        <f>IF(S12="","",IF(Rumus!A12=0,R11,Rumus!A12))</f>
        <v/>
      </c>
      <c r="S12" s="203" t="str">
        <f>IF(Rumus!B12="","",Rumus!B12)</f>
        <v/>
      </c>
    </row>
    <row r="13" spans="1:19" x14ac:dyDescent="0.35">
      <c r="R13" s="203" t="str">
        <f>IF(S13="","",IF(Rumus!A13=0,R12,Rumus!A13))</f>
        <v/>
      </c>
      <c r="S13" s="203" t="str">
        <f>IF(Rumus!B13="","",Rumus!B13)</f>
        <v/>
      </c>
    </row>
    <row r="14" spans="1:19" x14ac:dyDescent="0.35">
      <c r="R14" s="203" t="str">
        <f>IF(S14="","",IF(Rumus!A14=0,R13,Rumus!A14))</f>
        <v/>
      </c>
      <c r="S14" s="203" t="str">
        <f>IF(Rumus!B14="","",Rumus!B14)</f>
        <v/>
      </c>
    </row>
    <row r="15" spans="1:19" x14ac:dyDescent="0.35">
      <c r="R15" s="203" t="str">
        <f>IF(S15="","",IF(Rumus!A15=0,R14,Rumus!A15))</f>
        <v/>
      </c>
      <c r="S15" s="203" t="str">
        <f>IF(Rumus!B15="","",Rumus!B15)</f>
        <v/>
      </c>
    </row>
    <row r="16" spans="1:19" x14ac:dyDescent="0.35">
      <c r="R16" s="203" t="str">
        <f>IF(S16="","",IF(Rumus!A16=0,R15,Rumus!A16))</f>
        <v/>
      </c>
      <c r="S16" s="203" t="str">
        <f>IF(Rumus!B16="","",Rumus!B16)</f>
        <v/>
      </c>
    </row>
    <row r="17" spans="18:19" x14ac:dyDescent="0.35">
      <c r="R17" s="203" t="str">
        <f>IF(S17="","",IF(Rumus!A17=0,R16,Rumus!A17))</f>
        <v/>
      </c>
      <c r="S17" s="203" t="str">
        <f>IF(Rumus!B17="","",Rumus!B17)</f>
        <v/>
      </c>
    </row>
    <row r="18" spans="18:19" x14ac:dyDescent="0.35">
      <c r="R18" s="203" t="str">
        <f>IF(S18="","",IF(Rumus!A18=0,R17,Rumus!A18))</f>
        <v/>
      </c>
      <c r="S18" s="203" t="str">
        <f>IF(Rumus!B18="","",Rumus!B18)</f>
        <v/>
      </c>
    </row>
    <row r="19" spans="18:19" x14ac:dyDescent="0.35">
      <c r="R19" s="203" t="str">
        <f>IF(S19="","",IF(Rumus!A19=0,R18,Rumus!A19))</f>
        <v/>
      </c>
      <c r="S19" s="203" t="str">
        <f>IF(Rumus!B19="","",Rumus!B19)</f>
        <v/>
      </c>
    </row>
    <row r="20" spans="18:19" x14ac:dyDescent="0.35">
      <c r="R20" s="203" t="str">
        <f>IF(S20="","",IF(Rumus!A20=0,R19,Rumus!A20))</f>
        <v/>
      </c>
      <c r="S20" s="203" t="str">
        <f>IF(Rumus!B20="","",Rumus!B20)</f>
        <v/>
      </c>
    </row>
    <row r="21" spans="18:19" x14ac:dyDescent="0.35">
      <c r="R21" s="203" t="str">
        <f>IF(S21="","",IF(Rumus!A21=0,R20,Rumus!A21))</f>
        <v/>
      </c>
      <c r="S21" s="203" t="str">
        <f>IF(Rumus!B21="","",Rumus!B21)</f>
        <v/>
      </c>
    </row>
    <row r="22" spans="18:19" x14ac:dyDescent="0.35">
      <c r="R22" s="203" t="str">
        <f>IF(S22="","",IF(Rumus!A22=0,R21,Rumus!A22))</f>
        <v/>
      </c>
      <c r="S22" s="203" t="str">
        <f>IF(Rumus!B22="","",Rumus!B22)</f>
        <v/>
      </c>
    </row>
  </sheetData>
  <sheetProtection sort="0" autoFilter="0" pivotTable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I41"/>
  <sheetViews>
    <sheetView showGridLines="0" view="pageBreakPreview" zoomScaleNormal="90" zoomScaleSheetLayoutView="100" workbookViewId="0">
      <selection activeCell="I5" sqref="I5"/>
    </sheetView>
  </sheetViews>
  <sheetFormatPr defaultColWidth="9.1796875" defaultRowHeight="14.5" x14ac:dyDescent="0.35"/>
  <cols>
    <col min="1" max="1" width="4.7265625" style="39" customWidth="1"/>
    <col min="2" max="2" width="22.7265625" style="39" customWidth="1"/>
    <col min="3" max="3" width="10.7265625" style="39" customWidth="1"/>
    <col min="4" max="4" width="10.1796875" style="39" customWidth="1"/>
    <col min="5" max="5" width="8" style="39" bestFit="1" customWidth="1"/>
    <col min="6" max="6" width="10" style="39" customWidth="1"/>
    <col min="7" max="7" width="11" style="39" customWidth="1"/>
    <col min="8" max="8" width="8.1796875" style="39" customWidth="1"/>
    <col min="9" max="9" width="7.453125" style="39" customWidth="1"/>
    <col min="10" max="16384" width="9.1796875" style="39"/>
  </cols>
  <sheetData>
    <row r="1" spans="1:9" ht="19" thickTop="1" x14ac:dyDescent="0.35">
      <c r="A1" s="36"/>
      <c r="B1" s="37"/>
      <c r="C1" s="37"/>
      <c r="D1" s="37"/>
      <c r="E1" s="37"/>
      <c r="F1" s="37"/>
      <c r="G1" s="37"/>
      <c r="H1" s="37"/>
      <c r="I1" s="38"/>
    </row>
    <row r="2" spans="1:9" ht="18.5" x14ac:dyDescent="0.35">
      <c r="A2" s="40"/>
      <c r="B2" s="41" t="s">
        <v>117</v>
      </c>
      <c r="I2" s="42"/>
    </row>
    <row r="3" spans="1:9" x14ac:dyDescent="0.35">
      <c r="A3" s="40"/>
      <c r="I3" s="42"/>
    </row>
    <row r="4" spans="1:9" x14ac:dyDescent="0.35">
      <c r="A4" s="40"/>
      <c r="I4" s="42"/>
    </row>
    <row r="5" spans="1:9" ht="36" customHeight="1" x14ac:dyDescent="0.35">
      <c r="A5" s="324" t="s">
        <v>98</v>
      </c>
      <c r="B5" s="326" t="s">
        <v>99</v>
      </c>
      <c r="C5" s="328" t="s">
        <v>100</v>
      </c>
      <c r="D5" s="328" t="s">
        <v>101</v>
      </c>
      <c r="E5" s="100" t="s">
        <v>102</v>
      </c>
      <c r="F5" s="100" t="s">
        <v>103</v>
      </c>
      <c r="G5" s="100" t="s">
        <v>104</v>
      </c>
      <c r="H5" s="322" t="s">
        <v>105</v>
      </c>
      <c r="I5" s="42"/>
    </row>
    <row r="6" spans="1:9" ht="17.25" customHeight="1" x14ac:dyDescent="0.35">
      <c r="A6" s="325"/>
      <c r="B6" s="327"/>
      <c r="C6" s="329"/>
      <c r="D6" s="329"/>
      <c r="E6" s="43" t="s">
        <v>106</v>
      </c>
      <c r="F6" s="43" t="s">
        <v>106</v>
      </c>
      <c r="G6" s="43" t="s">
        <v>106</v>
      </c>
      <c r="H6" s="323"/>
      <c r="I6" s="42"/>
    </row>
    <row r="7" spans="1:9" ht="21" customHeight="1" x14ac:dyDescent="0.35">
      <c r="A7" s="44" t="s">
        <v>26</v>
      </c>
      <c r="B7" s="51" t="str" cm="1">
        <f t="array" ref="B7:C7">'PROFIL QCP'!D20:E20</f>
        <v>Aulia</v>
      </c>
      <c r="C7" s="45">
        <v>0</v>
      </c>
      <c r="D7" s="45"/>
      <c r="E7" s="45"/>
      <c r="F7" s="45"/>
      <c r="G7" s="45"/>
      <c r="H7" s="52" t="str">
        <f>IF(E7="","",SUM(E7:G7)*5)</f>
        <v/>
      </c>
      <c r="I7" s="42"/>
    </row>
    <row r="8" spans="1:9" ht="21" customHeight="1" x14ac:dyDescent="0.35">
      <c r="A8" s="44" t="s">
        <v>27</v>
      </c>
      <c r="B8" s="51" t="str" cm="1">
        <f t="array" ref="B8:C8">'PROFIL QCP'!D22:E22</f>
        <v>Rohmad Fajar Hidayatullah</v>
      </c>
      <c r="C8" s="45">
        <v>0</v>
      </c>
      <c r="D8" s="45"/>
      <c r="E8" s="45"/>
      <c r="F8" s="45"/>
      <c r="G8" s="45"/>
      <c r="H8" s="52" t="str">
        <f t="shared" ref="H8:H14" si="0">IF(E8="","",SUM(E8:G8)*5)</f>
        <v/>
      </c>
      <c r="I8" s="42"/>
    </row>
    <row r="9" spans="1:9" ht="21" customHeight="1" x14ac:dyDescent="0.35">
      <c r="A9" s="44" t="s">
        <v>28</v>
      </c>
      <c r="B9" s="51" t="str" cm="1">
        <f t="array" ref="B9:C9">'PROFIL QCP'!D27:E27</f>
        <v>Mitra</v>
      </c>
      <c r="C9" s="45">
        <v>0</v>
      </c>
      <c r="D9" s="45"/>
      <c r="E9" s="45"/>
      <c r="F9" s="45"/>
      <c r="G9" s="45"/>
      <c r="H9" s="52" t="str">
        <f t="shared" si="0"/>
        <v/>
      </c>
      <c r="I9" s="42"/>
    </row>
    <row r="10" spans="1:9" ht="21" customHeight="1" x14ac:dyDescent="0.35">
      <c r="A10" s="44" t="s">
        <v>29</v>
      </c>
      <c r="B10" s="51" t="str" cm="1">
        <f t="array" ref="B10:C10">'PROFIL QCP'!D29:E29</f>
        <v>Anugrah Sandi</v>
      </c>
      <c r="C10" s="45">
        <v>0</v>
      </c>
      <c r="D10" s="45"/>
      <c r="E10" s="45"/>
      <c r="F10" s="45"/>
      <c r="G10" s="45"/>
      <c r="H10" s="52" t="str">
        <f t="shared" si="0"/>
        <v/>
      </c>
      <c r="I10" s="42"/>
    </row>
    <row r="11" spans="1:9" ht="21" customHeight="1" x14ac:dyDescent="0.35">
      <c r="A11" s="44" t="s">
        <v>30</v>
      </c>
      <c r="B11" s="51" t="str" cm="1">
        <f t="array" ref="B11:C11">'PROFIL QCP'!D31:E31</f>
        <v>Riko Irvansyah</v>
      </c>
      <c r="C11" s="45">
        <v>0</v>
      </c>
      <c r="D11" s="45"/>
      <c r="E11" s="45"/>
      <c r="F11" s="45"/>
      <c r="G11" s="45"/>
      <c r="H11" s="52" t="str">
        <f t="shared" si="0"/>
        <v/>
      </c>
      <c r="I11" s="42"/>
    </row>
    <row r="12" spans="1:9" ht="21" customHeight="1" x14ac:dyDescent="0.35">
      <c r="A12" s="44" t="s">
        <v>32</v>
      </c>
      <c r="B12" s="51" t="str" cm="1">
        <f t="array" ref="B12:C12">'PROFIL QCP'!D33:E33</f>
        <v>Yusuf</v>
      </c>
      <c r="C12" s="45">
        <v>0</v>
      </c>
      <c r="D12" s="45"/>
      <c r="E12" s="45"/>
      <c r="F12" s="45"/>
      <c r="G12" s="45"/>
      <c r="H12" s="52" t="str">
        <f t="shared" si="0"/>
        <v/>
      </c>
      <c r="I12" s="42"/>
    </row>
    <row r="13" spans="1:9" ht="21" customHeight="1" x14ac:dyDescent="0.35">
      <c r="A13" s="44" t="s">
        <v>107</v>
      </c>
      <c r="B13" s="51" t="e" cm="1">
        <f t="array" ref="B13:C13">'PROFIL QCP'!#REF!</f>
        <v>#REF!</v>
      </c>
      <c r="C13" s="45" t="e">
        <v>#REF!</v>
      </c>
      <c r="D13" s="45"/>
      <c r="E13" s="45"/>
      <c r="F13" s="45"/>
      <c r="G13" s="45"/>
      <c r="H13" s="52" t="str">
        <f t="shared" si="0"/>
        <v/>
      </c>
      <c r="I13" s="42"/>
    </row>
    <row r="14" spans="1:9" ht="21" customHeight="1" x14ac:dyDescent="0.35">
      <c r="A14" s="44" t="s">
        <v>108</v>
      </c>
      <c r="B14" s="51" t="str" cm="1">
        <f t="array" ref="B14:C14">'PROFIL QCP'!D35:E35</f>
        <v>Mitha</v>
      </c>
      <c r="C14" s="45">
        <v>0</v>
      </c>
      <c r="D14" s="45"/>
      <c r="E14" s="45"/>
      <c r="F14" s="45"/>
      <c r="G14" s="45"/>
      <c r="H14" s="52" t="str">
        <f t="shared" si="0"/>
        <v/>
      </c>
      <c r="I14" s="42"/>
    </row>
    <row r="15" spans="1:9" ht="21" customHeight="1" x14ac:dyDescent="0.35">
      <c r="A15" s="320" t="s">
        <v>110</v>
      </c>
      <c r="B15" s="321"/>
      <c r="C15" s="46" t="e">
        <f t="shared" ref="C15:H15" si="1">IF(C7="","",AVERAGE(C7:C14))</f>
        <v>#REF!</v>
      </c>
      <c r="D15" s="46" t="str">
        <f t="shared" si="1"/>
        <v/>
      </c>
      <c r="E15" s="101" t="str">
        <f t="shared" si="1"/>
        <v/>
      </c>
      <c r="F15" s="46" t="str">
        <f t="shared" si="1"/>
        <v/>
      </c>
      <c r="G15" s="46" t="str">
        <f t="shared" si="1"/>
        <v/>
      </c>
      <c r="H15" s="102" t="str">
        <f t="shared" si="1"/>
        <v/>
      </c>
      <c r="I15" s="42"/>
    </row>
    <row r="16" spans="1:9" ht="21.75" customHeight="1" x14ac:dyDescent="0.35">
      <c r="A16" s="47" t="s">
        <v>111</v>
      </c>
      <c r="I16" s="42"/>
    </row>
    <row r="17" spans="1:9" x14ac:dyDescent="0.35">
      <c r="A17" s="40"/>
      <c r="I17" s="42"/>
    </row>
    <row r="18" spans="1:9" x14ac:dyDescent="0.35">
      <c r="A18" s="40"/>
      <c r="I18" s="42"/>
    </row>
    <row r="19" spans="1:9" x14ac:dyDescent="0.35">
      <c r="A19" s="40"/>
      <c r="B19" s="319"/>
      <c r="C19" s="319"/>
      <c r="D19" s="319"/>
      <c r="I19" s="42"/>
    </row>
    <row r="20" spans="1:9" x14ac:dyDescent="0.35">
      <c r="A20" s="40"/>
      <c r="I20" s="42"/>
    </row>
    <row r="21" spans="1:9" x14ac:dyDescent="0.35">
      <c r="A21" s="40"/>
      <c r="I21" s="42"/>
    </row>
    <row r="22" spans="1:9" x14ac:dyDescent="0.35">
      <c r="A22" s="40"/>
      <c r="I22" s="42"/>
    </row>
    <row r="23" spans="1:9" x14ac:dyDescent="0.35">
      <c r="A23" s="40"/>
      <c r="I23" s="42"/>
    </row>
    <row r="24" spans="1:9" x14ac:dyDescent="0.35">
      <c r="A24" s="40"/>
      <c r="I24" s="42"/>
    </row>
    <row r="25" spans="1:9" x14ac:dyDescent="0.35">
      <c r="A25" s="40"/>
      <c r="I25" s="42"/>
    </row>
    <row r="26" spans="1:9" x14ac:dyDescent="0.35">
      <c r="A26" s="40"/>
      <c r="I26" s="42"/>
    </row>
    <row r="27" spans="1:9" x14ac:dyDescent="0.35">
      <c r="A27" s="40"/>
      <c r="I27" s="42"/>
    </row>
    <row r="28" spans="1:9" x14ac:dyDescent="0.35">
      <c r="A28" s="40"/>
      <c r="I28" s="42"/>
    </row>
    <row r="29" spans="1:9" x14ac:dyDescent="0.35">
      <c r="A29" s="40"/>
      <c r="I29" s="42"/>
    </row>
    <row r="30" spans="1:9" x14ac:dyDescent="0.35">
      <c r="A30" s="40"/>
      <c r="I30" s="42"/>
    </row>
    <row r="31" spans="1:9" x14ac:dyDescent="0.35">
      <c r="A31" s="40"/>
      <c r="I31" s="42"/>
    </row>
    <row r="32" spans="1:9" x14ac:dyDescent="0.35">
      <c r="A32" s="40"/>
      <c r="I32" s="42"/>
    </row>
    <row r="33" spans="1:9" x14ac:dyDescent="0.35">
      <c r="A33" s="40"/>
      <c r="I33" s="42"/>
    </row>
    <row r="34" spans="1:9" x14ac:dyDescent="0.35">
      <c r="A34" s="40"/>
      <c r="I34" s="42"/>
    </row>
    <row r="35" spans="1:9" x14ac:dyDescent="0.35">
      <c r="A35" s="40"/>
      <c r="I35" s="42"/>
    </row>
    <row r="36" spans="1:9" x14ac:dyDescent="0.35">
      <c r="A36" s="40"/>
      <c r="I36" s="42"/>
    </row>
    <row r="37" spans="1:9" x14ac:dyDescent="0.35">
      <c r="A37" s="40"/>
      <c r="I37" s="42"/>
    </row>
    <row r="38" spans="1:9" x14ac:dyDescent="0.35">
      <c r="A38" s="40"/>
      <c r="I38" s="42"/>
    </row>
    <row r="39" spans="1:9" x14ac:dyDescent="0.35">
      <c r="A39" s="40"/>
      <c r="I39" s="42"/>
    </row>
    <row r="40" spans="1:9" ht="15" thickBot="1" x14ac:dyDescent="0.4">
      <c r="A40" s="48"/>
      <c r="B40" s="49"/>
      <c r="C40" s="49"/>
      <c r="D40" s="49"/>
      <c r="E40" s="49"/>
      <c r="F40" s="49"/>
      <c r="G40" s="49"/>
      <c r="H40" s="49"/>
      <c r="I40" s="50"/>
    </row>
    <row r="41" spans="1:9" ht="15" thickTop="1" x14ac:dyDescent="0.35"/>
  </sheetData>
  <mergeCells count="7">
    <mergeCell ref="H5:H6"/>
    <mergeCell ref="A15:B15"/>
    <mergeCell ref="B19:D19"/>
    <mergeCell ref="A5:A6"/>
    <mergeCell ref="B5:B6"/>
    <mergeCell ref="C5:C6"/>
    <mergeCell ref="D5:D6"/>
  </mergeCells>
  <dataValidations count="8">
    <dataValidation allowBlank="1" showInputMessage="1" showErrorMessage="1" prompt="Isilah kolom ini dengan usia dari masing masing nama" sqref="C7:C14"/>
    <dataValidation allowBlank="1" showInputMessage="1" showErrorMessage="1" prompt="Isilah dengan jumlah hasil test yang benar saja dari test yang sudah dilakukan (hanya kategori test &quot;Soal cerita/pemahaman&quot;)" sqref="G7:G14"/>
    <dataValidation allowBlank="1" showInputMessage="1" showErrorMessage="1" prompt="Isilah dengan jumlah hasil test yang benar saja dari test yang sudah dilakukan (hanya kategori test &quot;8 langkah&quot;)" sqref="F7:F14"/>
    <dataValidation allowBlank="1" showInputMessage="1" showErrorMessage="1" prompt="Isilah dengan jumlah hasil test yang benar saja dari test yang sudah dilakukan (hanya kategori test &quot;7 alat&quot;)" sqref="E7:E14"/>
    <dataValidation allowBlank="1" showInputMessage="1" showErrorMessage="1" prompt="Isilah dengan angka_x000a_skala 1 - 10_x000a_(sesuai dengan test yang dilakukan oleh Fasilitator)" sqref="H5"/>
    <dataValidation allowBlank="1" showInputMessage="1" showErrorMessage="1" prompt="Isilah dengan masa kerja (tahun) dari masing masing nama" sqref="D7:D14"/>
    <dataValidation allowBlank="1" showErrorMessage="1" prompt="Isilah dengan angka_x000a_skala 1 - 10_x000a_(sesuai dengan test yang dilakukan oleh Fasilitator)" sqref="C5:D5"/>
    <dataValidation allowBlank="1" showInputMessage="1" showErrorMessage="1" prompt="Diisi nama-nama" sqref="B5"/>
  </dataValidations>
  <printOptions horizontalCentered="1" verticalCentered="1"/>
  <pageMargins left="0.4" right="0.4" top="0.5" bottom="0.5" header="0.3" footer="0.3"/>
  <pageSetup paperSize="9" orientation="portrait" r:id="rId1"/>
  <headerFooter>
    <oddFooter>&amp;R&amp;"Palatino Linotype,Italic"&amp;10Lampiran Kertas Kerja QCC-QCP Rev.2(191213)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C000"/>
  </sheetPr>
  <dimension ref="B1:R41"/>
  <sheetViews>
    <sheetView showGridLines="0" view="pageBreakPreview" zoomScaleNormal="90" zoomScaleSheetLayoutView="100" workbookViewId="0">
      <selection activeCell="C8" sqref="C8"/>
    </sheetView>
  </sheetViews>
  <sheetFormatPr defaultColWidth="9.1796875" defaultRowHeight="14.5" x14ac:dyDescent="0.35"/>
  <cols>
    <col min="1" max="1" width="2.453125" style="32" customWidth="1"/>
    <col min="2" max="2" width="3.7265625" style="32" customWidth="1"/>
    <col min="3" max="3" width="22.453125" style="32" customWidth="1"/>
    <col min="4" max="4" width="9.453125" style="32" customWidth="1"/>
    <col min="5" max="5" width="7" style="32" bestFit="1" customWidth="1"/>
    <col min="6" max="6" width="7" style="32" customWidth="1"/>
    <col min="7" max="7" width="7.7265625" style="32" bestFit="1" customWidth="1"/>
    <col min="8" max="8" width="9.1796875" style="32" customWidth="1"/>
    <col min="9" max="9" width="5.453125" style="32" customWidth="1"/>
    <col min="10" max="10" width="17.1796875" style="32" customWidth="1"/>
    <col min="11" max="11" width="11.1796875" style="32" customWidth="1"/>
    <col min="12" max="12" width="11.453125" style="32" customWidth="1"/>
    <col min="13" max="13" width="5.453125" style="32" customWidth="1"/>
    <col min="14" max="16384" width="9.1796875" style="32"/>
  </cols>
  <sheetData>
    <row r="1" spans="2:18" ht="12" customHeight="1" x14ac:dyDescent="0.45">
      <c r="B1" s="33"/>
      <c r="I1" s="351"/>
      <c r="J1" s="351"/>
      <c r="K1" s="351"/>
      <c r="L1" s="351"/>
      <c r="M1" s="351"/>
    </row>
    <row r="2" spans="2:18" ht="15.75" customHeight="1" x14ac:dyDescent="0.45">
      <c r="B2" s="33" t="s">
        <v>118</v>
      </c>
      <c r="I2" s="351"/>
      <c r="J2" s="351"/>
      <c r="K2" s="351"/>
      <c r="L2" s="351"/>
      <c r="M2" s="351"/>
    </row>
    <row r="3" spans="2:18" x14ac:dyDescent="0.35">
      <c r="J3" s="103"/>
      <c r="K3" s="103"/>
      <c r="L3" s="103"/>
      <c r="M3" s="103"/>
    </row>
    <row r="4" spans="2:18" ht="10.5" customHeight="1" x14ac:dyDescent="0.35"/>
    <row r="5" spans="2:18" x14ac:dyDescent="0.35">
      <c r="B5" s="34" t="s">
        <v>119</v>
      </c>
      <c r="G5" s="210" t="s">
        <v>120</v>
      </c>
      <c r="H5" s="211" t="e">
        <f>#REF!</f>
        <v>#REF!</v>
      </c>
    </row>
    <row r="6" spans="2:18" ht="15" customHeight="1" x14ac:dyDescent="0.35">
      <c r="B6" s="352" t="s">
        <v>98</v>
      </c>
      <c r="C6" s="352" t="s">
        <v>121</v>
      </c>
      <c r="D6" s="352" t="s">
        <v>122</v>
      </c>
      <c r="E6" s="352"/>
      <c r="F6" s="352"/>
      <c r="G6" s="352"/>
      <c r="H6" s="352"/>
      <c r="I6" s="170"/>
      <c r="J6" s="305"/>
      <c r="K6" s="305"/>
      <c r="L6" s="305"/>
      <c r="M6" s="305"/>
    </row>
    <row r="7" spans="2:18" x14ac:dyDescent="0.35">
      <c r="B7" s="352"/>
      <c r="C7" s="352"/>
      <c r="D7" s="228" t="s">
        <v>123</v>
      </c>
      <c r="E7" s="228" t="s">
        <v>79</v>
      </c>
      <c r="F7" s="228" t="s">
        <v>51</v>
      </c>
      <c r="G7" s="228" t="s">
        <v>52</v>
      </c>
      <c r="H7" s="145" t="s">
        <v>125</v>
      </c>
      <c r="I7" s="170"/>
      <c r="J7" s="305"/>
      <c r="K7" s="226"/>
      <c r="L7" s="170"/>
      <c r="M7" s="170"/>
    </row>
    <row r="8" spans="2:18" ht="25.5" customHeight="1" x14ac:dyDescent="0.35">
      <c r="B8" s="352">
        <v>1</v>
      </c>
      <c r="C8" s="239" t="s">
        <v>376</v>
      </c>
      <c r="D8" s="240">
        <v>261</v>
      </c>
      <c r="E8" s="240">
        <f>D8+90</f>
        <v>351</v>
      </c>
      <c r="F8" s="240">
        <f>E8+92</f>
        <v>443</v>
      </c>
      <c r="G8" s="253">
        <f>F8+100</f>
        <v>543</v>
      </c>
      <c r="H8" s="255">
        <f>AVERAGE(D8:G8)</f>
        <v>399.5</v>
      </c>
      <c r="I8" s="235" t="s">
        <v>126</v>
      </c>
      <c r="K8" s="236"/>
      <c r="L8" s="114"/>
      <c r="M8" s="212"/>
    </row>
    <row r="9" spans="2:18" x14ac:dyDescent="0.35">
      <c r="B9" s="352"/>
      <c r="C9" s="241" t="s">
        <v>127</v>
      </c>
      <c r="D9" s="240">
        <f>1100/6</f>
        <v>183.33333333333334</v>
      </c>
      <c r="E9" s="240">
        <f>D9+184</f>
        <v>367.33333333333337</v>
      </c>
      <c r="F9" s="240">
        <f>E9+184</f>
        <v>551.33333333333337</v>
      </c>
      <c r="G9" s="253">
        <f>F9+184</f>
        <v>735.33333333333337</v>
      </c>
      <c r="H9" s="102">
        <f>AVERAGE(D9:G9)</f>
        <v>459.33333333333337</v>
      </c>
      <c r="I9" s="237" t="s">
        <v>128</v>
      </c>
      <c r="K9" s="68"/>
      <c r="L9" s="114"/>
      <c r="M9" s="212"/>
    </row>
    <row r="10" spans="2:18" x14ac:dyDescent="0.35">
      <c r="B10" s="352"/>
      <c r="C10" s="241" t="s">
        <v>129</v>
      </c>
      <c r="D10" s="225" t="s">
        <v>153</v>
      </c>
      <c r="E10" s="225" t="s">
        <v>153</v>
      </c>
      <c r="F10" s="225" t="s">
        <v>153</v>
      </c>
      <c r="G10" s="225" t="s">
        <v>153</v>
      </c>
      <c r="H10" s="254" t="str">
        <f>D10</f>
        <v xml:space="preserve">Tinggi lebih baik </v>
      </c>
      <c r="K10" s="68"/>
      <c r="L10" s="114"/>
      <c r="M10" s="212"/>
    </row>
    <row r="11" spans="2:18" x14ac:dyDescent="0.35">
      <c r="B11" s="352"/>
      <c r="C11" s="241" t="s">
        <v>131</v>
      </c>
      <c r="D11" s="242" t="str">
        <f t="shared" ref="D11" si="0">IF(AND(D10="Tinggi lebih baik ",D8&lt;D9),(D9-D8),IF(AND(D10="Rendah lebih baik",D8&gt;D9),(D8-D9),IF(AND(D10="nol",D8&gt;0),(D8-D9),"No Gap")))</f>
        <v>No Gap</v>
      </c>
      <c r="E11" s="242">
        <f>IF(AND(E10="Tinggi lebih baik ",E8&lt;E9),(E9-E8),IF(AND(E10="Rendah lebih baik",E8&gt;E9),(E8-E9),IF(AND(E10="nol",E8&gt;0),(E8-E9),"No Gap")))</f>
        <v>16.333333333333371</v>
      </c>
      <c r="F11" s="242">
        <f t="shared" ref="F11:G11" si="1">IF(AND(F10="Tinggi lebih baik ",F8&lt;F9),(F9-F8),IF(AND(F10="Rendah lebih baik",F8&gt;F9),(F8-F9),IF(AND(F10="nol",F8&gt;0),(F8-F9),"No Gap")))</f>
        <v>108.33333333333337</v>
      </c>
      <c r="G11" s="242">
        <f t="shared" si="1"/>
        <v>192.33333333333337</v>
      </c>
      <c r="H11" s="242">
        <f>IF(AND(H10="Tinggi lebih baik ",H8&lt;H9),(H9-H8),IF(AND(H10="Rendah lebih baik",H8&gt;H9),(H8-H9),IF(AND(H10="nol",H8&gt;0),(H8-H9),"No Gap")))</f>
        <v>59.833333333333371</v>
      </c>
      <c r="K11" s="68"/>
      <c r="L11" s="114"/>
      <c r="M11" s="212"/>
    </row>
    <row r="12" spans="2:18" ht="11.25" customHeight="1" x14ac:dyDescent="0.35">
      <c r="D12" s="209" t="s">
        <v>132</v>
      </c>
      <c r="E12" s="209"/>
      <c r="F12" s="209"/>
      <c r="G12" s="209"/>
      <c r="K12" s="68"/>
      <c r="L12" s="213"/>
      <c r="M12" s="213"/>
    </row>
    <row r="13" spans="2:18" ht="11.25" customHeight="1" x14ac:dyDescent="0.35">
      <c r="J13" s="353"/>
      <c r="K13" s="353"/>
      <c r="L13" s="353"/>
      <c r="M13" s="353"/>
      <c r="P13" s="68" t="s">
        <v>20</v>
      </c>
      <c r="Q13" s="32">
        <v>6</v>
      </c>
      <c r="R13" s="32">
        <f>RANK(Q13,$Q$13:$Q$13)</f>
        <v>1</v>
      </c>
    </row>
    <row r="14" spans="2:18" ht="7.5" customHeight="1" x14ac:dyDescent="0.35">
      <c r="J14" s="353"/>
      <c r="K14" s="353"/>
      <c r="L14" s="353"/>
      <c r="M14" s="353"/>
    </row>
    <row r="15" spans="2:18" x14ac:dyDescent="0.35">
      <c r="J15" s="104"/>
      <c r="K15" s="104"/>
      <c r="L15" s="104"/>
      <c r="M15" s="104"/>
      <c r="O15" s="32">
        <v>3</v>
      </c>
      <c r="P15" s="32" t="e">
        <f>LOOKUP(O15,O13:O13,P13:P13)</f>
        <v>#N/A</v>
      </c>
    </row>
    <row r="16" spans="2:18" x14ac:dyDescent="0.35">
      <c r="O16" s="32">
        <v>4</v>
      </c>
      <c r="P16" s="32" t="e">
        <f>LOOKUP(O16,O13:O13,P13:P13)</f>
        <v>#N/A</v>
      </c>
    </row>
    <row r="17" spans="2:13" ht="15.75" customHeight="1" x14ac:dyDescent="0.35">
      <c r="I17" s="354" t="s">
        <v>133</v>
      </c>
      <c r="J17" s="354"/>
      <c r="K17" s="355" t="str">
        <f>C8</f>
        <v>Belum adanya data (kalaupun ada belum lengkap) tentang ketertelusuran (traceability) data petani penyuplai TBS ke Mill TAPG</v>
      </c>
      <c r="L17" s="355"/>
      <c r="M17" s="355"/>
    </row>
    <row r="18" spans="2:13" ht="15" customHeight="1" x14ac:dyDescent="0.35">
      <c r="I18" s="354"/>
      <c r="J18" s="354"/>
      <c r="K18" s="355"/>
      <c r="L18" s="355"/>
      <c r="M18" s="355"/>
    </row>
    <row r="19" spans="2:13" ht="15.5" x14ac:dyDescent="0.35">
      <c r="I19" s="105" t="s">
        <v>134</v>
      </c>
      <c r="J19" s="105"/>
    </row>
    <row r="20" spans="2:13" ht="15" customHeight="1" x14ac:dyDescent="0.35">
      <c r="I20" s="356"/>
      <c r="J20" s="357"/>
      <c r="K20" s="357"/>
      <c r="L20" s="357"/>
      <c r="M20" s="358"/>
    </row>
    <row r="21" spans="2:13" ht="15" customHeight="1" x14ac:dyDescent="0.35">
      <c r="C21" s="68"/>
      <c r="D21" s="68"/>
      <c r="E21" s="68"/>
      <c r="F21" s="68"/>
      <c r="G21" s="68"/>
      <c r="H21" s="68"/>
      <c r="I21" s="359"/>
      <c r="J21" s="360"/>
      <c r="K21" s="360"/>
      <c r="L21" s="360"/>
      <c r="M21" s="361"/>
    </row>
    <row r="22" spans="2:13" ht="15" customHeight="1" x14ac:dyDescent="0.35">
      <c r="C22" s="68"/>
      <c r="D22" s="68"/>
      <c r="E22" s="68"/>
      <c r="F22" s="68"/>
      <c r="G22" s="68"/>
      <c r="H22" s="68"/>
      <c r="I22" s="362"/>
      <c r="J22" s="363"/>
      <c r="K22" s="363"/>
      <c r="L22" s="363"/>
      <c r="M22" s="364"/>
    </row>
    <row r="23" spans="2:13" x14ac:dyDescent="0.35">
      <c r="C23" s="68"/>
      <c r="D23" s="68"/>
      <c r="E23" s="68"/>
      <c r="F23" s="68"/>
      <c r="G23" s="68"/>
      <c r="H23" s="68"/>
      <c r="I23" s="350" t="s">
        <v>363</v>
      </c>
      <c r="J23" s="350"/>
      <c r="K23" s="350"/>
      <c r="L23" s="350"/>
      <c r="M23" s="107"/>
    </row>
    <row r="24" spans="2:13" ht="15.75" customHeight="1" x14ac:dyDescent="0.35">
      <c r="C24" s="68"/>
      <c r="D24" s="68"/>
      <c r="E24" s="68"/>
      <c r="F24" s="68"/>
      <c r="G24" s="68"/>
      <c r="H24" s="68"/>
      <c r="I24" s="350"/>
      <c r="J24" s="350"/>
      <c r="K24" s="350"/>
      <c r="L24" s="350"/>
      <c r="M24" s="214"/>
    </row>
    <row r="25" spans="2:13" ht="15" customHeight="1" x14ac:dyDescent="0.35">
      <c r="C25" s="68"/>
      <c r="D25" s="68"/>
      <c r="E25" s="68"/>
      <c r="F25" s="68"/>
      <c r="G25" s="68"/>
      <c r="H25" s="68"/>
      <c r="I25" s="84" t="s">
        <v>135</v>
      </c>
      <c r="J25" s="84"/>
      <c r="K25" s="106" t="s">
        <v>136</v>
      </c>
      <c r="M25" s="214"/>
    </row>
    <row r="26" spans="2:13" x14ac:dyDescent="0.35">
      <c r="C26" s="68"/>
      <c r="D26" s="68"/>
      <c r="E26" s="68"/>
      <c r="F26" s="68"/>
      <c r="G26" s="68"/>
      <c r="H26" s="68"/>
      <c r="I26" s="342" t="s">
        <v>137</v>
      </c>
      <c r="J26" s="342"/>
      <c r="K26" s="342"/>
      <c r="M26" s="107"/>
    </row>
    <row r="27" spans="2:13" x14ac:dyDescent="0.35">
      <c r="C27" s="68"/>
      <c r="D27" s="68"/>
      <c r="E27" s="68"/>
      <c r="F27" s="68"/>
      <c r="G27" s="68"/>
      <c r="H27" s="68"/>
      <c r="I27" s="298"/>
      <c r="J27" s="299"/>
      <c r="K27" s="299"/>
      <c r="L27" s="299"/>
      <c r="M27" s="300"/>
    </row>
    <row r="28" spans="2:13" ht="13.5" customHeight="1" x14ac:dyDescent="0.35">
      <c r="C28" s="68"/>
      <c r="D28" s="68"/>
      <c r="E28" s="68"/>
      <c r="F28" s="68"/>
      <c r="G28" s="68"/>
      <c r="H28" s="68"/>
      <c r="I28" s="343"/>
      <c r="J28" s="305"/>
      <c r="K28" s="305"/>
      <c r="L28" s="305"/>
      <c r="M28" s="344"/>
    </row>
    <row r="29" spans="2:13" x14ac:dyDescent="0.35">
      <c r="I29" s="345"/>
      <c r="J29" s="346"/>
      <c r="K29" s="346"/>
      <c r="L29" s="346"/>
      <c r="M29" s="347"/>
    </row>
    <row r="30" spans="2:13" ht="15.5" x14ac:dyDescent="0.35">
      <c r="I30" s="108" t="s">
        <v>138</v>
      </c>
      <c r="J30" s="104"/>
      <c r="K30" s="104"/>
      <c r="L30" s="104"/>
      <c r="M30" s="39"/>
    </row>
    <row r="31" spans="2:13" ht="15" customHeight="1" x14ac:dyDescent="0.35">
      <c r="B31" s="109"/>
      <c r="C31" s="109"/>
      <c r="D31" s="109"/>
      <c r="E31" s="109"/>
      <c r="F31" s="109"/>
      <c r="G31" s="109"/>
      <c r="H31" s="109"/>
      <c r="I31" s="336" t="s">
        <v>139</v>
      </c>
      <c r="J31" s="337"/>
      <c r="K31" s="337"/>
      <c r="L31" s="337"/>
      <c r="M31" s="338"/>
    </row>
    <row r="32" spans="2:13" ht="15" customHeight="1" x14ac:dyDescent="0.35">
      <c r="B32" s="348" t="s">
        <v>140</v>
      </c>
      <c r="C32" s="348"/>
      <c r="D32" s="348"/>
      <c r="E32" s="348"/>
      <c r="F32" s="348"/>
      <c r="G32" s="109"/>
      <c r="H32" s="109"/>
      <c r="I32" s="339"/>
      <c r="J32" s="340"/>
      <c r="K32" s="340"/>
      <c r="L32" s="340"/>
      <c r="M32" s="341"/>
    </row>
    <row r="33" spans="2:13" ht="15" customHeight="1" x14ac:dyDescent="0.35">
      <c r="B33" s="349"/>
      <c r="C33" s="349"/>
      <c r="D33" s="349"/>
      <c r="E33" s="349"/>
      <c r="F33" s="349"/>
      <c r="G33" s="109"/>
      <c r="H33" s="110"/>
      <c r="I33" s="336" t="s">
        <v>141</v>
      </c>
      <c r="J33" s="337"/>
      <c r="K33" s="337"/>
      <c r="L33" s="337"/>
      <c r="M33" s="338"/>
    </row>
    <row r="34" spans="2:13" ht="15" customHeight="1" x14ac:dyDescent="0.35">
      <c r="B34" s="349" t="s">
        <v>138</v>
      </c>
      <c r="C34" s="349"/>
      <c r="D34" s="349"/>
      <c r="E34" s="349"/>
      <c r="F34" s="349"/>
      <c r="G34" s="238"/>
      <c r="H34" s="110"/>
      <c r="I34" s="339"/>
      <c r="J34" s="340"/>
      <c r="K34" s="340"/>
      <c r="L34" s="340"/>
      <c r="M34" s="341"/>
    </row>
    <row r="35" spans="2:13" ht="15" customHeight="1" x14ac:dyDescent="0.35">
      <c r="B35" s="330" t="s">
        <v>142</v>
      </c>
      <c r="C35" s="331"/>
      <c r="D35" s="331"/>
      <c r="E35" s="331"/>
      <c r="F35" s="331"/>
      <c r="G35" s="332"/>
      <c r="H35" s="110"/>
      <c r="I35" s="336" t="s">
        <v>143</v>
      </c>
      <c r="J35" s="337"/>
      <c r="K35" s="337"/>
      <c r="L35" s="337"/>
      <c r="M35" s="338"/>
    </row>
    <row r="36" spans="2:13" ht="15" customHeight="1" x14ac:dyDescent="0.35">
      <c r="B36" s="333"/>
      <c r="C36" s="334"/>
      <c r="D36" s="334"/>
      <c r="E36" s="334"/>
      <c r="F36" s="334"/>
      <c r="G36" s="335"/>
      <c r="H36" s="110"/>
      <c r="I36" s="339"/>
      <c r="J36" s="340"/>
      <c r="K36" s="340"/>
      <c r="L36" s="340"/>
      <c r="M36" s="341"/>
    </row>
    <row r="37" spans="2:13" x14ac:dyDescent="0.35">
      <c r="B37" s="330" t="s">
        <v>144</v>
      </c>
      <c r="C37" s="331"/>
      <c r="D37" s="331"/>
      <c r="E37" s="331"/>
      <c r="F37" s="331"/>
      <c r="G37" s="332"/>
      <c r="H37" s="110"/>
      <c r="I37" s="336" t="s">
        <v>145</v>
      </c>
      <c r="J37" s="337"/>
      <c r="K37" s="337"/>
      <c r="L37" s="337"/>
      <c r="M37" s="338"/>
    </row>
    <row r="38" spans="2:13" x14ac:dyDescent="0.35">
      <c r="B38" s="333"/>
      <c r="C38" s="334"/>
      <c r="D38" s="334"/>
      <c r="E38" s="334"/>
      <c r="F38" s="334"/>
      <c r="G38" s="335"/>
      <c r="H38" s="110"/>
      <c r="I38" s="339"/>
      <c r="J38" s="340"/>
      <c r="K38" s="340"/>
      <c r="L38" s="340"/>
      <c r="M38" s="341"/>
    </row>
    <row r="39" spans="2:13" x14ac:dyDescent="0.35">
      <c r="B39" s="110"/>
      <c r="C39" s="110"/>
      <c r="D39" s="110"/>
      <c r="E39" s="110"/>
      <c r="F39" s="110"/>
      <c r="G39" s="110"/>
      <c r="H39" s="110"/>
      <c r="I39" s="110"/>
    </row>
    <row r="40" spans="2:13" ht="15" customHeight="1" x14ac:dyDescent="0.35">
      <c r="B40" s="111"/>
      <c r="C40" s="215"/>
      <c r="D40" s="215"/>
      <c r="E40" s="215"/>
      <c r="F40" s="215"/>
      <c r="G40" s="215"/>
      <c r="H40" s="215"/>
      <c r="I40" s="215"/>
      <c r="J40" s="215"/>
      <c r="K40" s="215"/>
    </row>
    <row r="41" spans="2:13" x14ac:dyDescent="0.35">
      <c r="B41" s="111"/>
      <c r="C41" s="215"/>
      <c r="D41" s="215"/>
      <c r="E41" s="215"/>
      <c r="F41" s="215"/>
      <c r="G41" s="215"/>
      <c r="H41" s="215"/>
      <c r="I41" s="215"/>
      <c r="J41" s="215"/>
      <c r="K41" s="215"/>
    </row>
  </sheetData>
  <sheetProtection formatCells="0" insertColumns="0"/>
  <mergeCells count="23">
    <mergeCell ref="I23:L24"/>
    <mergeCell ref="I1:M2"/>
    <mergeCell ref="B6:B7"/>
    <mergeCell ref="C6:C7"/>
    <mergeCell ref="D6:H6"/>
    <mergeCell ref="J6:J7"/>
    <mergeCell ref="K6:M6"/>
    <mergeCell ref="B8:B11"/>
    <mergeCell ref="J13:M14"/>
    <mergeCell ref="I17:J18"/>
    <mergeCell ref="K17:M18"/>
    <mergeCell ref="I20:M22"/>
    <mergeCell ref="B35:G36"/>
    <mergeCell ref="I35:M36"/>
    <mergeCell ref="B37:G38"/>
    <mergeCell ref="I37:M38"/>
    <mergeCell ref="I26:K26"/>
    <mergeCell ref="I27:M29"/>
    <mergeCell ref="I31:M32"/>
    <mergeCell ref="B32:F32"/>
    <mergeCell ref="B33:F33"/>
    <mergeCell ref="I33:M34"/>
    <mergeCell ref="B34:F34"/>
  </mergeCells>
  <dataValidations count="1">
    <dataValidation allowBlank="1" showInputMessage="1" showErrorMessage="1" promptTitle="Kolom Masalah" prompt="Tuliskan masalahnya di sini.." sqref="C8"/>
  </dataValidations>
  <printOptions horizontalCentered="1" verticalCentered="1"/>
  <pageMargins left="0.25" right="0.25" top="0.24" bottom="0.22" header="0.13" footer="0.14000000000000001"/>
  <pageSetup paperSize="9" scale="99" orientation="landscape" r:id="rId1"/>
  <headerFooter>
    <oddFooter>&amp;R&amp;"-,Italic"&amp;10Lampiran Kertas Kerja QCC-QCP Rev.4(110214)</oddFoot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'Step 1B(pilih satu)'!$W$9:$W$11</xm:f>
          </x14:formula1>
          <xm:sqref>D10:G10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</sheetPr>
  <dimension ref="A1:AD42"/>
  <sheetViews>
    <sheetView showGridLines="0" view="pageBreakPreview" topLeftCell="A4" zoomScaleNormal="90" zoomScaleSheetLayoutView="100" workbookViewId="0">
      <selection activeCell="L12" sqref="L12"/>
    </sheetView>
  </sheetViews>
  <sheetFormatPr defaultColWidth="9.1796875" defaultRowHeight="14.5" x14ac:dyDescent="0.35"/>
  <cols>
    <col min="1" max="1" width="3.1796875" style="32" bestFit="1" customWidth="1"/>
    <col min="2" max="2" width="3.7265625" style="32" customWidth="1"/>
    <col min="3" max="3" width="22.453125" style="32" customWidth="1"/>
    <col min="4" max="4" width="6.453125" style="32" customWidth="1"/>
    <col min="5" max="5" width="13.1796875" style="32" bestFit="1" customWidth="1"/>
    <col min="6" max="6" width="7.26953125" style="32" bestFit="1" customWidth="1"/>
    <col min="7" max="7" width="6" style="32" customWidth="1"/>
    <col min="8" max="10" width="8.7265625" style="32" customWidth="1"/>
    <col min="11" max="11" width="7.7265625" style="32" customWidth="1"/>
    <col min="12" max="12" width="8" style="32" customWidth="1"/>
    <col min="13" max="13" width="9.1796875" style="32" customWidth="1"/>
    <col min="14" max="14" width="11.1796875" style="32" customWidth="1"/>
    <col min="15" max="15" width="11.453125" style="32" customWidth="1"/>
    <col min="16" max="16" width="5.453125" style="32" customWidth="1"/>
    <col min="17" max="17" width="11.7265625" style="32" customWidth="1"/>
    <col min="18" max="18" width="9.1796875" style="32"/>
    <col min="19" max="30" width="9.1796875" style="261"/>
    <col min="31" max="16384" width="9.1796875" style="32"/>
  </cols>
  <sheetData>
    <row r="1" spans="1:23" ht="9.75" customHeight="1" x14ac:dyDescent="0.45">
      <c r="B1" s="33"/>
      <c r="L1" s="351"/>
      <c r="M1" s="351"/>
      <c r="N1" s="351"/>
      <c r="O1" s="351"/>
      <c r="P1" s="351"/>
    </row>
    <row r="2" spans="1:23" ht="15.75" customHeight="1" x14ac:dyDescent="0.45">
      <c r="B2" s="33" t="s">
        <v>118</v>
      </c>
      <c r="L2" s="351"/>
      <c r="M2" s="351"/>
      <c r="N2" s="351"/>
      <c r="O2" s="351"/>
      <c r="P2" s="351"/>
    </row>
    <row r="3" spans="1:23" ht="9" customHeight="1" x14ac:dyDescent="0.35">
      <c r="M3" s="103"/>
      <c r="N3" s="103"/>
      <c r="O3" s="103"/>
      <c r="P3" s="103"/>
    </row>
    <row r="4" spans="1:23" ht="10.5" customHeight="1" x14ac:dyDescent="0.35"/>
    <row r="5" spans="1:23" x14ac:dyDescent="0.35">
      <c r="B5" s="34" t="s">
        <v>378</v>
      </c>
      <c r="H5" s="210" t="s">
        <v>120</v>
      </c>
      <c r="I5" s="210"/>
      <c r="J5" s="210"/>
      <c r="K5" s="211" t="e">
        <f>#REF!</f>
        <v>#REF!</v>
      </c>
      <c r="N5" s="209"/>
      <c r="O5" s="209"/>
      <c r="P5" s="209"/>
    </row>
    <row r="6" spans="1:23" ht="15" customHeight="1" x14ac:dyDescent="0.35">
      <c r="B6" s="394" t="s">
        <v>98</v>
      </c>
      <c r="C6" s="298" t="s">
        <v>146</v>
      </c>
      <c r="D6" s="300"/>
      <c r="E6" s="365" t="s">
        <v>147</v>
      </c>
      <c r="F6" s="375" t="s">
        <v>148</v>
      </c>
      <c r="G6" s="375" t="s">
        <v>149</v>
      </c>
      <c r="H6" s="378" t="s">
        <v>150</v>
      </c>
      <c r="I6" s="379"/>
      <c r="J6" s="379"/>
      <c r="K6" s="321"/>
      <c r="L6" s="380" t="s">
        <v>384</v>
      </c>
      <c r="M6" s="372" t="s">
        <v>151</v>
      </c>
      <c r="N6" s="371"/>
      <c r="O6" s="371"/>
      <c r="P6" s="371"/>
    </row>
    <row r="7" spans="1:23" ht="12.75" customHeight="1" x14ac:dyDescent="0.35">
      <c r="B7" s="395"/>
      <c r="C7" s="343"/>
      <c r="D7" s="344"/>
      <c r="E7" s="366"/>
      <c r="F7" s="376"/>
      <c r="G7" s="376"/>
      <c r="H7" s="227" t="s">
        <v>152</v>
      </c>
      <c r="I7" s="227" t="s">
        <v>152</v>
      </c>
      <c r="J7" s="227" t="s">
        <v>152</v>
      </c>
      <c r="K7" s="227" t="s">
        <v>152</v>
      </c>
      <c r="L7" s="381"/>
      <c r="M7" s="373"/>
      <c r="N7" s="266"/>
      <c r="O7" s="265"/>
      <c r="P7" s="265"/>
    </row>
    <row r="8" spans="1:23" ht="25.5" customHeight="1" x14ac:dyDescent="0.35">
      <c r="A8" s="209"/>
      <c r="B8" s="396"/>
      <c r="C8" s="345"/>
      <c r="D8" s="347"/>
      <c r="E8" s="367"/>
      <c r="F8" s="377"/>
      <c r="G8" s="377"/>
      <c r="H8" s="228" t="s">
        <v>123</v>
      </c>
      <c r="I8" s="228" t="s">
        <v>124</v>
      </c>
      <c r="J8" s="228" t="s">
        <v>382</v>
      </c>
      <c r="K8" s="228" t="s">
        <v>383</v>
      </c>
      <c r="L8" s="382"/>
      <c r="M8" s="374"/>
      <c r="N8" s="266"/>
      <c r="O8" s="265"/>
      <c r="P8" s="265"/>
    </row>
    <row r="9" spans="1:23" ht="25.5" customHeight="1" x14ac:dyDescent="0.35">
      <c r="A9" s="222" t="str">
        <f>IF(N9=1,"S",IF(N9=2,"D","T"))</f>
        <v>S</v>
      </c>
      <c r="B9" s="46">
        <v>1</v>
      </c>
      <c r="C9" s="368" t="s">
        <v>380</v>
      </c>
      <c r="D9" s="369"/>
      <c r="E9" s="225" t="s">
        <v>153</v>
      </c>
      <c r="F9" s="282" t="s">
        <v>386</v>
      </c>
      <c r="G9" s="46" t="s">
        <v>194</v>
      </c>
      <c r="H9" s="281">
        <f>(261/1100)*100</f>
        <v>23.727272727272727</v>
      </c>
      <c r="I9" s="281">
        <f>((351/1100)*100)-H9</f>
        <v>8.1818181818181834</v>
      </c>
      <c r="J9" s="281">
        <f>((443/1100)*100)-I9-H9</f>
        <v>8.3636363636363669</v>
      </c>
      <c r="K9" s="281">
        <f>((543/1100)*100)-J9-I9-H9</f>
        <v>9.0909090909090864</v>
      </c>
      <c r="L9" s="224">
        <f>SUM(H9:K9)</f>
        <v>49.363636363636367</v>
      </c>
      <c r="M9" s="280">
        <f>100-L9</f>
        <v>50.636363636363633</v>
      </c>
      <c r="N9" s="223">
        <f>RANK(M9,($M$9:$M$11))</f>
        <v>1</v>
      </c>
      <c r="O9" s="267"/>
      <c r="P9" s="268"/>
      <c r="V9" s="262"/>
      <c r="W9" s="263" t="s">
        <v>130</v>
      </c>
    </row>
    <row r="10" spans="1:23" ht="26.25" customHeight="1" x14ac:dyDescent="0.35">
      <c r="A10" s="222" t="str">
        <f t="shared" ref="A10" si="0">IF(N10=1,"S",IF(N10=2,"D","T"))</f>
        <v>D</v>
      </c>
      <c r="B10" s="46">
        <v>2</v>
      </c>
      <c r="C10" s="368" t="s">
        <v>379</v>
      </c>
      <c r="D10" s="369"/>
      <c r="E10" s="225" t="s">
        <v>153</v>
      </c>
      <c r="F10" s="282" t="s">
        <v>387</v>
      </c>
      <c r="G10" s="275" t="s">
        <v>194</v>
      </c>
      <c r="H10" s="46">
        <v>20</v>
      </c>
      <c r="I10" s="275">
        <v>15</v>
      </c>
      <c r="J10" s="275">
        <v>15</v>
      </c>
      <c r="K10" s="281">
        <f>L10-J10-I10-H10</f>
        <v>21</v>
      </c>
      <c r="L10" s="224">
        <v>71</v>
      </c>
      <c r="M10" s="280">
        <f>100-L10</f>
        <v>29</v>
      </c>
      <c r="N10" s="223">
        <f>RANK(M10,($M$9:$M$11))</f>
        <v>2</v>
      </c>
      <c r="O10" s="267"/>
      <c r="P10" s="268"/>
      <c r="W10" s="263" t="s">
        <v>153</v>
      </c>
    </row>
    <row r="11" spans="1:23" ht="26.25" customHeight="1" x14ac:dyDescent="0.35">
      <c r="A11" s="222" t="e">
        <f>IF(N11=1,"S",IF(N11=2,"D","T"))</f>
        <v>#VALUE!</v>
      </c>
      <c r="B11" s="46">
        <v>3</v>
      </c>
      <c r="C11" s="368" t="s">
        <v>381</v>
      </c>
      <c r="D11" s="369"/>
      <c r="E11" s="225" t="s">
        <v>153</v>
      </c>
      <c r="F11" s="101">
        <v>0</v>
      </c>
      <c r="G11" s="275" t="s">
        <v>194</v>
      </c>
      <c r="H11" s="101">
        <v>0</v>
      </c>
      <c r="I11" s="101">
        <v>0</v>
      </c>
      <c r="J11" s="101">
        <v>0</v>
      </c>
      <c r="K11" s="101">
        <v>0</v>
      </c>
      <c r="L11" s="224">
        <f t="shared" ref="L11" si="1">SUM(H11:K11)</f>
        <v>0</v>
      </c>
      <c r="M11" s="229" t="str">
        <f t="shared" ref="M11" si="2">IF(AND(E11="Tinggi lebih baik ",L11&lt;F11),(F11-L11),IF(AND(E11="Rendah lebih baik",L11&gt;F11),(L11-F11),IF(AND(E11="Nol",L11&gt;0),L11-F11,"No Gap")))</f>
        <v>No Gap</v>
      </c>
      <c r="N11" s="223" t="e">
        <f>RANK(M11,($M$9:$M$11))</f>
        <v>#VALUE!</v>
      </c>
      <c r="O11" s="267"/>
      <c r="P11" s="268"/>
      <c r="W11" s="263" t="s">
        <v>154</v>
      </c>
    </row>
    <row r="12" spans="1:23" ht="11.25" customHeight="1" x14ac:dyDescent="0.35">
      <c r="C12" s="209" t="s">
        <v>155</v>
      </c>
      <c r="D12" s="83"/>
      <c r="E12" s="209"/>
      <c r="F12" s="209"/>
      <c r="G12" s="209"/>
      <c r="H12" s="209"/>
      <c r="I12" s="209"/>
      <c r="J12" s="209"/>
      <c r="L12" s="232"/>
      <c r="M12" s="269">
        <f>SUM(M9:M11)</f>
        <v>79.636363636363626</v>
      </c>
      <c r="N12" s="68"/>
      <c r="O12" s="213"/>
      <c r="P12" s="213"/>
    </row>
    <row r="13" spans="1:23" ht="11.25" customHeight="1" x14ac:dyDescent="0.35">
      <c r="C13" s="209" t="s">
        <v>66</v>
      </c>
      <c r="D13" s="219"/>
      <c r="M13" s="353"/>
      <c r="N13" s="353"/>
      <c r="O13" s="353"/>
      <c r="P13" s="353"/>
      <c r="S13" s="264"/>
    </row>
    <row r="14" spans="1:23" ht="11.25" customHeight="1" x14ac:dyDescent="0.35">
      <c r="C14" s="209" t="s">
        <v>156</v>
      </c>
      <c r="D14" s="219"/>
      <c r="M14" s="353"/>
      <c r="N14" s="353"/>
      <c r="O14" s="353"/>
      <c r="P14" s="353"/>
      <c r="S14" s="264"/>
    </row>
    <row r="15" spans="1:23" ht="7.5" customHeight="1" x14ac:dyDescent="0.35">
      <c r="M15" s="353"/>
      <c r="N15" s="353"/>
      <c r="O15" s="353"/>
      <c r="P15" s="353"/>
    </row>
    <row r="16" spans="1:23" x14ac:dyDescent="0.35">
      <c r="C16" s="220" t="s">
        <v>146</v>
      </c>
      <c r="M16" s="104"/>
      <c r="N16" s="104"/>
      <c r="O16" s="104"/>
      <c r="P16" s="104"/>
    </row>
    <row r="17" spans="2:17" x14ac:dyDescent="0.35">
      <c r="B17" s="32">
        <f>SUMIF($N$9:$N$11,1,$M$9:$M$11)</f>
        <v>50.636363636363633</v>
      </c>
      <c r="C17" s="68" t="e">
        <f ca="1">_xlfn.XLOOKUP("S",$A$9:$A$11,$C$9:$C$11)</f>
        <v>#NAME?</v>
      </c>
      <c r="D17" s="114">
        <f>B17/$B$20</f>
        <v>0.63584474885844755</v>
      </c>
      <c r="E17" s="221">
        <f>D17</f>
        <v>0.63584474885844755</v>
      </c>
      <c r="F17" s="221">
        <f>D17</f>
        <v>0.63584474885844755</v>
      </c>
    </row>
    <row r="18" spans="2:17" ht="15.75" customHeight="1" x14ac:dyDescent="0.35">
      <c r="B18" s="32">
        <f>SUMIF($N$9:$N$11,2,$M$9:$M$11)</f>
        <v>29</v>
      </c>
      <c r="C18" s="68" t="e">
        <f ca="1">_xlfn.XLOOKUP("D",$A$9:$A$11,$C$9:$C$11)</f>
        <v>#NAME?</v>
      </c>
      <c r="D18" s="114">
        <f t="shared" ref="D18:D19" si="3">B18/$B$20</f>
        <v>0.36415525114155256</v>
      </c>
      <c r="E18" s="221">
        <f>E17+D18</f>
        <v>1</v>
      </c>
      <c r="F18" s="221">
        <f>F17+D18</f>
        <v>1</v>
      </c>
      <c r="L18" s="354" t="s">
        <v>133</v>
      </c>
      <c r="M18" s="354"/>
      <c r="N18" s="397" t="s">
        <v>385</v>
      </c>
      <c r="O18" s="398"/>
      <c r="P18" s="398"/>
      <c r="Q18" s="399"/>
    </row>
    <row r="19" spans="2:17" ht="15" customHeight="1" x14ac:dyDescent="0.35">
      <c r="B19" s="32">
        <f>SUMIF($N$9:$N$11,3,$M$9:$M$11)</f>
        <v>0</v>
      </c>
      <c r="C19" s="68" t="e">
        <f ca="1">_xlfn.XLOOKUP("T",$A$9:$A$11,$C$9:$C$11)</f>
        <v>#NAME?</v>
      </c>
      <c r="D19" s="114">
        <f t="shared" si="3"/>
        <v>0</v>
      </c>
      <c r="E19" s="221">
        <f>E18+D19</f>
        <v>1</v>
      </c>
      <c r="F19" s="221">
        <f>F18+D19</f>
        <v>1</v>
      </c>
      <c r="L19" s="354"/>
      <c r="M19" s="354"/>
      <c r="N19" s="400"/>
      <c r="O19" s="401"/>
      <c r="P19" s="401"/>
      <c r="Q19" s="402"/>
    </row>
    <row r="20" spans="2:17" ht="15.5" x14ac:dyDescent="0.35">
      <c r="B20" s="32">
        <f>SUM(B17:B19)</f>
        <v>79.636363636363626</v>
      </c>
      <c r="L20" s="105" t="s">
        <v>134</v>
      </c>
      <c r="M20" s="105"/>
    </row>
    <row r="21" spans="2:17" ht="15" customHeight="1" x14ac:dyDescent="0.35">
      <c r="L21" s="403" t="s">
        <v>157</v>
      </c>
      <c r="M21" s="403"/>
      <c r="N21" s="403"/>
      <c r="O21" s="403"/>
      <c r="P21" s="403"/>
      <c r="Q21" s="403"/>
    </row>
    <row r="22" spans="2:17" ht="15" customHeight="1" x14ac:dyDescent="0.35">
      <c r="C22" s="68"/>
      <c r="D22" s="68"/>
      <c r="E22" s="68"/>
      <c r="F22" s="68"/>
      <c r="G22" s="68"/>
      <c r="H22" s="68"/>
      <c r="I22" s="277"/>
      <c r="J22" s="277"/>
      <c r="K22" s="68"/>
      <c r="L22" s="403"/>
      <c r="M22" s="403"/>
      <c r="N22" s="403"/>
      <c r="O22" s="403"/>
      <c r="P22" s="403"/>
      <c r="Q22" s="403"/>
    </row>
    <row r="23" spans="2:17" ht="15" customHeight="1" x14ac:dyDescent="0.35">
      <c r="C23" s="68"/>
      <c r="D23" s="68"/>
      <c r="E23" s="68"/>
      <c r="F23" s="68"/>
      <c r="G23" s="68"/>
      <c r="H23" s="68"/>
      <c r="I23" s="277"/>
      <c r="J23" s="277"/>
      <c r="K23" s="68"/>
      <c r="L23" s="403"/>
      <c r="M23" s="403"/>
      <c r="N23" s="403"/>
      <c r="O23" s="403"/>
      <c r="P23" s="403"/>
      <c r="Q23" s="403"/>
    </row>
    <row r="24" spans="2:17" x14ac:dyDescent="0.35">
      <c r="C24" s="68"/>
      <c r="D24" s="68"/>
      <c r="E24" s="68"/>
      <c r="F24" s="68"/>
      <c r="G24" s="68"/>
      <c r="H24" s="68"/>
      <c r="I24" s="277"/>
      <c r="J24" s="277"/>
      <c r="K24" s="68"/>
      <c r="L24" s="350" t="s">
        <v>158</v>
      </c>
      <c r="M24" s="350"/>
      <c r="N24" s="350"/>
      <c r="O24" s="350"/>
      <c r="P24" s="251"/>
    </row>
    <row r="25" spans="2:17" ht="15.75" customHeight="1" x14ac:dyDescent="0.35">
      <c r="C25" s="68"/>
      <c r="D25" s="68"/>
      <c r="E25" s="68"/>
      <c r="F25" s="68"/>
      <c r="G25" s="68"/>
      <c r="H25" s="68"/>
      <c r="I25" s="277"/>
      <c r="J25" s="277"/>
      <c r="K25" s="68"/>
      <c r="L25" s="350"/>
      <c r="M25" s="350"/>
      <c r="N25" s="350"/>
      <c r="O25" s="350"/>
      <c r="P25" s="105"/>
    </row>
    <row r="26" spans="2:17" ht="15" customHeight="1" x14ac:dyDescent="0.35">
      <c r="C26" s="68"/>
      <c r="D26" s="68"/>
      <c r="E26" s="68"/>
      <c r="F26" s="68"/>
      <c r="G26" s="68"/>
      <c r="H26" s="68"/>
      <c r="I26" s="277"/>
      <c r="J26" s="277"/>
      <c r="K26" s="68"/>
      <c r="L26" s="84" t="s">
        <v>135</v>
      </c>
      <c r="M26" s="84"/>
      <c r="O26" s="106" t="s">
        <v>136</v>
      </c>
      <c r="P26" s="105"/>
    </row>
    <row r="27" spans="2:17" x14ac:dyDescent="0.35">
      <c r="C27" s="68"/>
      <c r="D27" s="68"/>
      <c r="E27" s="68"/>
      <c r="F27" s="68"/>
      <c r="G27" s="68"/>
      <c r="H27" s="68"/>
      <c r="I27" s="277"/>
      <c r="J27" s="277"/>
      <c r="K27" s="68"/>
      <c r="L27" s="342" t="s">
        <v>159</v>
      </c>
      <c r="M27" s="342"/>
      <c r="N27" s="342"/>
      <c r="O27" s="32" t="s">
        <v>160</v>
      </c>
      <c r="P27" s="251"/>
    </row>
    <row r="28" spans="2:17" x14ac:dyDescent="0.35">
      <c r="C28" s="68"/>
      <c r="D28" s="68"/>
      <c r="E28" s="68"/>
      <c r="F28" s="68"/>
      <c r="G28" s="68"/>
      <c r="H28" s="68"/>
      <c r="I28" s="277"/>
      <c r="J28" s="277"/>
      <c r="K28" s="68"/>
      <c r="L28" s="352"/>
      <c r="M28" s="352"/>
      <c r="N28" s="352"/>
      <c r="O28" s="352"/>
      <c r="P28" s="352"/>
      <c r="Q28" s="352"/>
    </row>
    <row r="29" spans="2:17" ht="13.5" customHeight="1" x14ac:dyDescent="0.35">
      <c r="B29" s="370" t="s">
        <v>161</v>
      </c>
      <c r="C29" s="370"/>
      <c r="D29" s="370"/>
      <c r="E29" s="370"/>
      <c r="F29" s="370"/>
      <c r="G29" s="370"/>
      <c r="H29" s="370"/>
      <c r="I29" s="276"/>
      <c r="J29" s="276"/>
      <c r="K29" s="68"/>
      <c r="L29" s="352"/>
      <c r="M29" s="352"/>
      <c r="N29" s="352"/>
      <c r="O29" s="352"/>
      <c r="P29" s="352"/>
      <c r="Q29" s="352"/>
    </row>
    <row r="30" spans="2:17" x14ac:dyDescent="0.35">
      <c r="B30" s="370"/>
      <c r="C30" s="370"/>
      <c r="D30" s="370"/>
      <c r="E30" s="370"/>
      <c r="F30" s="370"/>
      <c r="G30" s="370"/>
      <c r="H30" s="370"/>
      <c r="I30" s="276"/>
      <c r="J30" s="276"/>
      <c r="L30" s="352"/>
      <c r="M30" s="352"/>
      <c r="N30" s="352"/>
      <c r="O30" s="352"/>
      <c r="P30" s="352"/>
      <c r="Q30" s="352"/>
    </row>
    <row r="31" spans="2:17" ht="15.5" x14ac:dyDescent="0.35">
      <c r="B31" s="370"/>
      <c r="C31" s="370"/>
      <c r="D31" s="370"/>
      <c r="E31" s="370"/>
      <c r="F31" s="370"/>
      <c r="G31" s="370"/>
      <c r="H31" s="370"/>
      <c r="I31" s="276"/>
      <c r="J31" s="276"/>
      <c r="L31" s="108" t="s">
        <v>138</v>
      </c>
      <c r="M31" s="104"/>
      <c r="N31" s="104"/>
      <c r="O31" s="104"/>
      <c r="P31" s="39"/>
    </row>
    <row r="32" spans="2:17" ht="15" customHeight="1" x14ac:dyDescent="0.35">
      <c r="B32" s="370"/>
      <c r="C32" s="370"/>
      <c r="D32" s="370"/>
      <c r="E32" s="370"/>
      <c r="F32" s="370"/>
      <c r="G32" s="370"/>
      <c r="H32" s="370"/>
      <c r="I32" s="276"/>
      <c r="J32" s="276"/>
      <c r="K32" s="109"/>
      <c r="L32" s="389" t="s">
        <v>139</v>
      </c>
      <c r="M32" s="389"/>
      <c r="N32" s="389"/>
      <c r="O32" s="389"/>
      <c r="P32" s="389"/>
      <c r="Q32" s="389"/>
    </row>
    <row r="33" spans="2:17" ht="15" customHeight="1" x14ac:dyDescent="0.35">
      <c r="B33" s="390" t="s">
        <v>145</v>
      </c>
      <c r="C33" s="391"/>
      <c r="D33" s="391"/>
      <c r="E33" s="391"/>
      <c r="F33" s="391"/>
      <c r="G33" s="391"/>
      <c r="H33" s="404"/>
      <c r="I33" s="278"/>
      <c r="J33" s="278"/>
      <c r="K33" s="109"/>
      <c r="L33" s="389"/>
      <c r="M33" s="389"/>
      <c r="N33" s="389"/>
      <c r="O33" s="389"/>
      <c r="P33" s="389"/>
      <c r="Q33" s="389"/>
    </row>
    <row r="34" spans="2:17" ht="15" customHeight="1" x14ac:dyDescent="0.35">
      <c r="B34" s="405"/>
      <c r="C34" s="406"/>
      <c r="D34" s="406"/>
      <c r="E34" s="406"/>
      <c r="F34" s="406"/>
      <c r="G34" s="406"/>
      <c r="H34" s="407"/>
      <c r="I34" s="278"/>
      <c r="J34" s="278"/>
      <c r="K34" s="110"/>
      <c r="L34" s="390" t="s">
        <v>162</v>
      </c>
      <c r="M34" s="391"/>
      <c r="N34" s="391"/>
      <c r="O34" s="391"/>
      <c r="P34" s="391"/>
      <c r="Q34" s="391"/>
    </row>
    <row r="35" spans="2:17" ht="15" customHeight="1" x14ac:dyDescent="0.35">
      <c r="B35" s="383" t="s">
        <v>163</v>
      </c>
      <c r="C35" s="384"/>
      <c r="D35" s="384"/>
      <c r="E35" s="384"/>
      <c r="F35" s="384"/>
      <c r="G35" s="384"/>
      <c r="H35" s="385"/>
      <c r="I35" s="279"/>
      <c r="J35" s="279"/>
      <c r="K35" s="110"/>
      <c r="L35" s="392"/>
      <c r="M35" s="393"/>
      <c r="N35" s="393"/>
      <c r="O35" s="393"/>
      <c r="P35" s="393"/>
      <c r="Q35" s="393"/>
    </row>
    <row r="36" spans="2:17" ht="15" customHeight="1" x14ac:dyDescent="0.35">
      <c r="B36" s="386"/>
      <c r="C36" s="387"/>
      <c r="D36" s="387"/>
      <c r="E36" s="387"/>
      <c r="F36" s="387"/>
      <c r="G36" s="387"/>
      <c r="H36" s="388"/>
      <c r="I36" s="279"/>
      <c r="J36" s="279"/>
      <c r="K36" s="110"/>
      <c r="L36" s="389" t="s">
        <v>143</v>
      </c>
      <c r="M36" s="389"/>
      <c r="N36" s="389"/>
      <c r="O36" s="389"/>
      <c r="P36" s="389"/>
      <c r="Q36" s="389"/>
    </row>
    <row r="37" spans="2:17" ht="15" customHeight="1" x14ac:dyDescent="0.35">
      <c r="B37" s="383" t="s">
        <v>144</v>
      </c>
      <c r="C37" s="384"/>
      <c r="D37" s="384"/>
      <c r="E37" s="384"/>
      <c r="F37" s="384"/>
      <c r="G37" s="384"/>
      <c r="H37" s="385"/>
      <c r="I37" s="279"/>
      <c r="J37" s="279"/>
      <c r="K37" s="110"/>
      <c r="L37" s="389"/>
      <c r="M37" s="389"/>
      <c r="N37" s="389"/>
      <c r="O37" s="389"/>
      <c r="P37" s="389"/>
      <c r="Q37" s="389"/>
    </row>
    <row r="38" spans="2:17" ht="15" customHeight="1" x14ac:dyDescent="0.35">
      <c r="B38" s="386"/>
      <c r="C38" s="387"/>
      <c r="D38" s="387"/>
      <c r="E38" s="387"/>
      <c r="F38" s="387"/>
      <c r="G38" s="387"/>
      <c r="H38" s="388"/>
      <c r="I38" s="279"/>
      <c r="J38" s="279"/>
      <c r="K38" s="110"/>
    </row>
    <row r="39" spans="2:17" x14ac:dyDescent="0.35">
      <c r="K39" s="110"/>
    </row>
    <row r="40" spans="2:17" x14ac:dyDescent="0.35">
      <c r="B40" s="110"/>
      <c r="C40" s="110"/>
      <c r="D40" s="110"/>
      <c r="E40" s="110"/>
      <c r="F40" s="110"/>
      <c r="G40" s="110"/>
      <c r="H40" s="110"/>
      <c r="I40" s="110"/>
      <c r="J40" s="110"/>
      <c r="K40" s="110"/>
      <c r="L40" s="110"/>
    </row>
    <row r="41" spans="2:17" ht="15" customHeight="1" x14ac:dyDescent="0.35">
      <c r="B41" s="111"/>
      <c r="C41" s="215"/>
      <c r="D41" s="215"/>
      <c r="E41" s="215"/>
      <c r="F41" s="215"/>
      <c r="G41" s="215"/>
      <c r="H41" s="215"/>
      <c r="I41" s="215"/>
      <c r="J41" s="215"/>
      <c r="K41" s="215"/>
      <c r="L41" s="215"/>
      <c r="M41" s="215"/>
      <c r="N41" s="215"/>
    </row>
    <row r="42" spans="2:17" x14ac:dyDescent="0.35">
      <c r="B42" s="111"/>
      <c r="C42" s="215"/>
      <c r="D42" s="215"/>
      <c r="E42" s="215"/>
      <c r="F42" s="215"/>
      <c r="G42" s="215"/>
      <c r="H42" s="215"/>
      <c r="I42" s="215"/>
      <c r="J42" s="215"/>
      <c r="K42" s="215"/>
      <c r="L42" s="215"/>
      <c r="M42" s="215"/>
      <c r="N42" s="215"/>
    </row>
  </sheetData>
  <sheetProtection formatCells="0" insertColumns="0"/>
  <mergeCells count="27">
    <mergeCell ref="B37:H38"/>
    <mergeCell ref="L32:Q33"/>
    <mergeCell ref="L34:Q35"/>
    <mergeCell ref="L36:Q37"/>
    <mergeCell ref="C6:D8"/>
    <mergeCell ref="B6:B8"/>
    <mergeCell ref="F6:F8"/>
    <mergeCell ref="N18:Q19"/>
    <mergeCell ref="L28:Q30"/>
    <mergeCell ref="L21:Q23"/>
    <mergeCell ref="B35:H36"/>
    <mergeCell ref="L27:N27"/>
    <mergeCell ref="M13:P15"/>
    <mergeCell ref="L18:M19"/>
    <mergeCell ref="L24:O25"/>
    <mergeCell ref="B33:H34"/>
    <mergeCell ref="L1:P2"/>
    <mergeCell ref="N6:P6"/>
    <mergeCell ref="M6:M8"/>
    <mergeCell ref="G6:G8"/>
    <mergeCell ref="H6:K6"/>
    <mergeCell ref="L6:L8"/>
    <mergeCell ref="E6:E8"/>
    <mergeCell ref="C9:D9"/>
    <mergeCell ref="C10:D10"/>
    <mergeCell ref="C11:D11"/>
    <mergeCell ref="B29:H32"/>
  </mergeCells>
  <dataValidations count="3">
    <dataValidation allowBlank="1" showInputMessage="1" showErrorMessage="1" prompt="Dari Data Masalah Yang di tampilkan, Masalah apa yang menjadi fokus tim QCC, Tuliskan masalah tersebut di kolom ini" sqref="N18:Q19"/>
    <dataValidation allowBlank="1" showInputMessage="1" showErrorMessage="1" prompt="Pada Kolom ini : Tuliskan Tema /Judul QCC dari Masalah yang sudah dipilih sebelumnya untuk di selesaikan..._x000a_Contoh : menurunkan masalah...???, Meningkatkan....??" sqref="L21:Q23"/>
    <dataValidation type="list" allowBlank="1" showInputMessage="1" showErrorMessage="1" sqref="E9:E11">
      <formula1>$W$9:$W$11</formula1>
    </dataValidation>
  </dataValidations>
  <printOptions horizontalCentered="1" verticalCentered="1"/>
  <pageMargins left="0.25" right="0.25" top="0.24" bottom="0.22" header="0.13" footer="0.14000000000000001"/>
  <pageSetup paperSize="9" scale="97" orientation="landscape" r:id="rId1"/>
  <headerFooter>
    <oddFooter>&amp;R&amp;"-,Italic"&amp;10Lampiran Kertas Kerja QCC-QCP Rev.5(020115)</oddFoot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00B050"/>
  </sheetPr>
  <dimension ref="B1:T31"/>
  <sheetViews>
    <sheetView showGridLines="0" tabSelected="1" topLeftCell="C5" zoomScale="90" zoomScaleNormal="90" zoomScaleSheetLayoutView="100" workbookViewId="0">
      <selection activeCell="I15" sqref="I15"/>
    </sheetView>
  </sheetViews>
  <sheetFormatPr defaultColWidth="9.1796875" defaultRowHeight="14.5" x14ac:dyDescent="0.35"/>
  <cols>
    <col min="1" max="1" width="2.453125" style="32" customWidth="1"/>
    <col min="2" max="2" width="11" style="32" customWidth="1"/>
    <col min="3" max="3" width="4.453125" style="32" customWidth="1"/>
    <col min="4" max="4" width="32.7265625" style="32" customWidth="1"/>
    <col min="5" max="5" width="32.81640625" style="32" customWidth="1"/>
    <col min="6" max="7" width="28.453125" style="32" customWidth="1"/>
    <col min="8" max="8" width="16.1796875" style="32" customWidth="1"/>
    <col min="9" max="9" width="12.453125" style="32" customWidth="1"/>
    <col min="10" max="10" width="21.1796875" style="32" customWidth="1"/>
    <col min="11" max="11" width="18.7265625" style="32" customWidth="1"/>
    <col min="12" max="12" width="1" style="32" customWidth="1"/>
    <col min="13" max="13" width="11.1796875" style="32" customWidth="1"/>
    <col min="14" max="14" width="6.453125" style="32" customWidth="1"/>
    <col min="15" max="15" width="4.1796875" style="32" customWidth="1"/>
    <col min="16" max="16384" width="9.1796875" style="32"/>
  </cols>
  <sheetData>
    <row r="1" spans="2:20" ht="18.5" x14ac:dyDescent="0.45">
      <c r="B1" s="33" t="s">
        <v>164</v>
      </c>
    </row>
    <row r="3" spans="2:20" x14ac:dyDescent="0.35">
      <c r="B3" s="32" t="s">
        <v>165</v>
      </c>
    </row>
    <row r="4" spans="2:20" x14ac:dyDescent="0.35">
      <c r="B4" s="32" t="s">
        <v>166</v>
      </c>
    </row>
    <row r="5" spans="2:20" x14ac:dyDescent="0.35">
      <c r="B5" s="196" t="s">
        <v>167</v>
      </c>
    </row>
    <row r="6" spans="2:20" s="35" customFormat="1" ht="27.75" customHeight="1" x14ac:dyDescent="0.35">
      <c r="B6" s="198" t="s">
        <v>113</v>
      </c>
      <c r="C6" s="199" t="s">
        <v>168</v>
      </c>
      <c r="D6" s="200" t="s">
        <v>114</v>
      </c>
      <c r="E6" s="200" t="s">
        <v>169</v>
      </c>
      <c r="F6" s="200" t="s">
        <v>170</v>
      </c>
      <c r="G6" s="200" t="s">
        <v>171</v>
      </c>
      <c r="H6" s="200" t="s">
        <v>172</v>
      </c>
      <c r="I6" s="200" t="s">
        <v>173</v>
      </c>
      <c r="J6" s="200" t="s">
        <v>174</v>
      </c>
      <c r="K6" s="198" t="s">
        <v>175</v>
      </c>
      <c r="L6" s="195" t="s">
        <v>112</v>
      </c>
      <c r="R6" s="243"/>
      <c r="S6" s="243"/>
      <c r="T6" s="243"/>
    </row>
    <row r="7" spans="2:20" s="35" customFormat="1" ht="27" x14ac:dyDescent="0.35">
      <c r="B7" s="192" t="s">
        <v>115</v>
      </c>
      <c r="C7" s="191">
        <v>1</v>
      </c>
      <c r="D7" s="197" t="s">
        <v>388</v>
      </c>
      <c r="E7" s="197" t="s">
        <v>391</v>
      </c>
      <c r="F7" s="230"/>
      <c r="G7" s="230" t="s">
        <v>394</v>
      </c>
      <c r="H7" s="230"/>
      <c r="I7" s="230" t="s">
        <v>396</v>
      </c>
      <c r="J7" s="230"/>
      <c r="K7" s="193" t="s">
        <v>176</v>
      </c>
      <c r="L7" s="201">
        <f>IF(K7="","",IF(K7="Ya",1,2))</f>
        <v>1</v>
      </c>
      <c r="M7" s="201" t="s">
        <v>176</v>
      </c>
      <c r="N7" s="205" t="s">
        <v>177</v>
      </c>
      <c r="R7" s="243"/>
      <c r="S7" s="270" t="s">
        <v>178</v>
      </c>
      <c r="T7" s="243"/>
    </row>
    <row r="8" spans="2:20" s="35" customFormat="1" ht="27" x14ac:dyDescent="0.35">
      <c r="B8" s="192" t="s">
        <v>116</v>
      </c>
      <c r="C8" s="191">
        <v>2</v>
      </c>
      <c r="D8" s="260" t="s">
        <v>389</v>
      </c>
      <c r="E8" s="284" t="s">
        <v>392</v>
      </c>
      <c r="F8" s="231"/>
      <c r="G8" s="231" t="s">
        <v>394</v>
      </c>
      <c r="H8" s="231"/>
      <c r="I8" s="231" t="s">
        <v>396</v>
      </c>
      <c r="J8" s="231"/>
      <c r="K8" s="193" t="s">
        <v>176</v>
      </c>
      <c r="L8" s="201">
        <f t="shared" ref="L8:L17" si="0">IF(K8="","",IF(K8="Ya",1,2))</f>
        <v>1</v>
      </c>
      <c r="M8" s="201" t="s">
        <v>179</v>
      </c>
      <c r="N8" s="205" t="s">
        <v>115</v>
      </c>
      <c r="R8" s="243"/>
      <c r="S8" s="270" t="s">
        <v>115</v>
      </c>
      <c r="T8" s="243"/>
    </row>
    <row r="9" spans="2:20" s="35" customFormat="1" ht="40.5" x14ac:dyDescent="0.35">
      <c r="B9" s="192" t="s">
        <v>180</v>
      </c>
      <c r="C9" s="191">
        <v>3</v>
      </c>
      <c r="D9" s="260" t="s">
        <v>390</v>
      </c>
      <c r="E9" s="284" t="s">
        <v>393</v>
      </c>
      <c r="F9" s="231"/>
      <c r="G9" s="231" t="s">
        <v>395</v>
      </c>
      <c r="H9" s="231"/>
      <c r="I9" s="231" t="s">
        <v>397</v>
      </c>
      <c r="J9" s="231"/>
      <c r="K9" s="193"/>
      <c r="L9" s="201" t="str">
        <f t="shared" si="0"/>
        <v/>
      </c>
      <c r="N9" s="205" t="s">
        <v>180</v>
      </c>
      <c r="R9" s="243"/>
      <c r="S9" s="270" t="s">
        <v>180</v>
      </c>
      <c r="T9" s="243"/>
    </row>
    <row r="10" spans="2:20" s="35" customFormat="1" ht="27" x14ac:dyDescent="0.35">
      <c r="B10" s="192" t="s">
        <v>181</v>
      </c>
      <c r="C10" s="191">
        <v>4</v>
      </c>
      <c r="D10" s="197" t="s">
        <v>398</v>
      </c>
      <c r="E10" s="230" t="s">
        <v>399</v>
      </c>
      <c r="F10" s="231"/>
      <c r="G10" s="231" t="s">
        <v>394</v>
      </c>
      <c r="H10" s="231"/>
      <c r="I10" s="231" t="s">
        <v>397</v>
      </c>
      <c r="J10" s="231"/>
      <c r="K10" s="193"/>
      <c r="L10" s="201" t="str">
        <f t="shared" si="0"/>
        <v/>
      </c>
      <c r="M10" s="35" t="s">
        <v>183</v>
      </c>
      <c r="N10" s="205" t="s">
        <v>116</v>
      </c>
      <c r="P10" s="194"/>
      <c r="R10" s="243"/>
      <c r="S10" s="270" t="s">
        <v>116</v>
      </c>
      <c r="T10" s="243"/>
    </row>
    <row r="11" spans="2:20" s="35" customFormat="1" ht="71.5" customHeight="1" x14ac:dyDescent="0.35">
      <c r="B11" s="192" t="s">
        <v>115</v>
      </c>
      <c r="C11" s="191">
        <v>5</v>
      </c>
      <c r="D11" s="260" t="s">
        <v>406</v>
      </c>
      <c r="E11" s="197" t="s">
        <v>400</v>
      </c>
      <c r="F11" s="231"/>
      <c r="G11" s="231" t="s">
        <v>403</v>
      </c>
      <c r="H11" s="231"/>
      <c r="I11" s="231" t="s">
        <v>405</v>
      </c>
      <c r="J11" s="231"/>
      <c r="K11" s="193"/>
      <c r="L11" s="201" t="str">
        <f t="shared" si="0"/>
        <v/>
      </c>
      <c r="N11" s="206" t="s">
        <v>184</v>
      </c>
      <c r="R11" s="243"/>
      <c r="S11" s="270" t="s">
        <v>181</v>
      </c>
      <c r="T11" s="243"/>
    </row>
    <row r="12" spans="2:20" s="35" customFormat="1" ht="54" x14ac:dyDescent="0.35">
      <c r="B12" s="192" t="s">
        <v>178</v>
      </c>
      <c r="C12" s="191">
        <v>6</v>
      </c>
      <c r="D12" s="260" t="s">
        <v>401</v>
      </c>
      <c r="E12" s="284" t="s">
        <v>402</v>
      </c>
      <c r="F12" s="231"/>
      <c r="G12" s="231" t="s">
        <v>404</v>
      </c>
      <c r="H12" s="231"/>
      <c r="I12" s="231" t="s">
        <v>405</v>
      </c>
      <c r="J12" s="231"/>
      <c r="K12" s="193"/>
      <c r="L12" s="202" t="str">
        <f t="shared" si="0"/>
        <v/>
      </c>
      <c r="N12" s="206" t="s">
        <v>185</v>
      </c>
      <c r="R12" s="243"/>
      <c r="S12" s="243"/>
      <c r="T12" s="243"/>
    </row>
    <row r="13" spans="2:20" s="35" customFormat="1" ht="30" customHeight="1" x14ac:dyDescent="0.35">
      <c r="B13" s="192" t="s">
        <v>180</v>
      </c>
      <c r="C13" s="191">
        <v>7</v>
      </c>
      <c r="D13" s="260" t="s">
        <v>408</v>
      </c>
      <c r="E13" s="285" t="s">
        <v>407</v>
      </c>
      <c r="F13" s="231"/>
      <c r="G13" s="231" t="s">
        <v>394</v>
      </c>
      <c r="H13" s="231"/>
      <c r="I13" s="231" t="s">
        <v>409</v>
      </c>
      <c r="J13" s="231"/>
      <c r="K13" s="193"/>
      <c r="L13" s="202" t="str">
        <f t="shared" si="0"/>
        <v/>
      </c>
      <c r="M13" s="35" t="s">
        <v>183</v>
      </c>
      <c r="R13" s="243"/>
      <c r="S13" s="243"/>
      <c r="T13" s="243"/>
    </row>
    <row r="14" spans="2:20" s="35" customFormat="1" ht="21.75" customHeight="1" x14ac:dyDescent="0.35">
      <c r="B14" s="192"/>
      <c r="C14" s="191">
        <v>8</v>
      </c>
      <c r="D14" s="197" t="s">
        <v>410</v>
      </c>
      <c r="E14" s="286" t="s">
        <v>412</v>
      </c>
      <c r="F14" s="231"/>
      <c r="G14" s="231" t="s">
        <v>403</v>
      </c>
      <c r="H14" s="231"/>
      <c r="I14" s="231" t="s">
        <v>409</v>
      </c>
      <c r="J14" s="231"/>
      <c r="K14" s="193"/>
      <c r="L14" s="202" t="str">
        <f t="shared" si="0"/>
        <v/>
      </c>
      <c r="R14" s="243"/>
      <c r="S14" s="243"/>
      <c r="T14" s="243"/>
    </row>
    <row r="15" spans="2:20" s="35" customFormat="1" ht="21.75" customHeight="1" x14ac:dyDescent="0.35">
      <c r="B15" s="192"/>
      <c r="C15" s="191">
        <v>9</v>
      </c>
      <c r="D15" s="197" t="s">
        <v>411</v>
      </c>
      <c r="E15" s="231"/>
      <c r="F15" s="231"/>
      <c r="G15" s="231" t="s">
        <v>403</v>
      </c>
      <c r="H15" s="231"/>
      <c r="I15" s="231" t="s">
        <v>405</v>
      </c>
      <c r="J15" s="231"/>
      <c r="K15" s="193"/>
      <c r="L15" s="202" t="str">
        <f t="shared" si="0"/>
        <v/>
      </c>
    </row>
    <row r="16" spans="2:20" s="35" customFormat="1" ht="21.75" customHeight="1" x14ac:dyDescent="0.35">
      <c r="B16" s="192"/>
      <c r="C16" s="191">
        <v>10</v>
      </c>
      <c r="D16" s="197"/>
      <c r="E16" s="231"/>
      <c r="F16" s="231"/>
      <c r="G16" s="231"/>
      <c r="H16" s="231"/>
      <c r="I16" s="231"/>
      <c r="J16" s="231"/>
      <c r="K16" s="193"/>
      <c r="L16" s="202" t="str">
        <f t="shared" si="0"/>
        <v/>
      </c>
      <c r="M16" s="35" t="s">
        <v>183</v>
      </c>
    </row>
    <row r="17" spans="2:12" s="35" customFormat="1" ht="21.75" customHeight="1" x14ac:dyDescent="0.35">
      <c r="B17" s="192"/>
      <c r="C17" s="191">
        <v>11</v>
      </c>
      <c r="D17" s="197"/>
      <c r="E17" s="231"/>
      <c r="F17" s="231"/>
      <c r="G17" s="231"/>
      <c r="H17" s="231"/>
      <c r="I17" s="231"/>
      <c r="J17" s="231"/>
      <c r="K17" s="193"/>
      <c r="L17" s="202" t="str">
        <f t="shared" si="0"/>
        <v/>
      </c>
    </row>
    <row r="19" spans="2:12" x14ac:dyDescent="0.35">
      <c r="B19" s="32" t="s">
        <v>186</v>
      </c>
    </row>
    <row r="20" spans="2:12" x14ac:dyDescent="0.35">
      <c r="B20" s="116"/>
    </row>
    <row r="21" spans="2:12" x14ac:dyDescent="0.35">
      <c r="B21" s="198" t="s">
        <v>113</v>
      </c>
      <c r="C21" s="199" t="s">
        <v>168</v>
      </c>
      <c r="D21" s="199" t="s">
        <v>114</v>
      </c>
    </row>
    <row r="22" spans="2:12" ht="87.4" customHeight="1" x14ac:dyDescent="0.35">
      <c r="B22" s="271" t="str">
        <f>B7</f>
        <v>Material</v>
      </c>
      <c r="C22" s="272">
        <v>1</v>
      </c>
      <c r="D22" s="273" t="str">
        <f>D7</f>
        <v>Tidak semua petani mau diukur lahannya</v>
      </c>
    </row>
    <row r="23" spans="2:12" ht="47.25" customHeight="1" x14ac:dyDescent="0.35">
      <c r="B23" s="271" t="s">
        <v>181</v>
      </c>
      <c r="C23" s="272">
        <v>2</v>
      </c>
      <c r="D23" s="273" t="str">
        <f t="shared" ref="D23:D31" si="1">D8</f>
        <v>Sulit menjumpai pemilik lahan</v>
      </c>
    </row>
    <row r="24" spans="2:12" ht="47.25" customHeight="1" x14ac:dyDescent="0.35">
      <c r="B24" s="271" t="str">
        <f t="shared" ref="B24:B31" si="2">B9</f>
        <v>Mesin</v>
      </c>
      <c r="C24" s="272">
        <v>3</v>
      </c>
      <c r="D24" s="273" t="str">
        <f t="shared" si="1"/>
        <v>Sulit mendapatkan legalitas lahan petani &amp; identitas pemiliknya</v>
      </c>
    </row>
    <row r="25" spans="2:12" ht="47.25" customHeight="1" x14ac:dyDescent="0.35">
      <c r="B25" s="271" t="str">
        <f t="shared" si="2"/>
        <v>Environmnet</v>
      </c>
      <c r="C25" s="272">
        <v>4</v>
      </c>
      <c r="D25" s="273" t="str">
        <f t="shared" si="1"/>
        <v>Jadwal jumpa dengan petani rata-rata 2-3 x kunjungan</v>
      </c>
    </row>
    <row r="26" spans="2:12" ht="47.25" customHeight="1" x14ac:dyDescent="0.35">
      <c r="B26" s="271" t="str">
        <f t="shared" si="2"/>
        <v>Material</v>
      </c>
      <c r="C26" s="272">
        <v>5</v>
      </c>
      <c r="D26" s="273" t="str">
        <f t="shared" si="1"/>
        <v>Masih ada petani yang mengirimkan TBS dalam kondisi tidak standar (mentah, jangkos, busuk, lewat matang, buah kecil, parthenocarpic, kempet)</v>
      </c>
    </row>
    <row r="27" spans="2:12" ht="47.25" customHeight="1" x14ac:dyDescent="0.35">
      <c r="B27" s="271" t="str">
        <f t="shared" si="2"/>
        <v>Man</v>
      </c>
      <c r="C27" s="272">
        <v>6</v>
      </c>
      <c r="D27" s="273" t="str">
        <f t="shared" si="1"/>
        <v>Beberapa petani menanam Sawit dari bibit tidak resmi</v>
      </c>
    </row>
    <row r="28" spans="2:12" ht="47.25" customHeight="1" x14ac:dyDescent="0.35">
      <c r="B28" s="271" t="str">
        <f t="shared" si="2"/>
        <v>Mesin</v>
      </c>
      <c r="C28" s="272">
        <v>7</v>
      </c>
      <c r="D28" s="273" t="str">
        <f t="shared" si="1"/>
        <v>Harga dari kompetitor yang selalu lebih tinggi</v>
      </c>
    </row>
    <row r="29" spans="2:12" ht="47.25" customHeight="1" x14ac:dyDescent="0.35">
      <c r="B29" s="271">
        <f t="shared" si="2"/>
        <v>0</v>
      </c>
      <c r="C29" s="272">
        <v>8</v>
      </c>
      <c r="D29" s="273" t="str">
        <f t="shared" si="1"/>
        <v>PKS Kompetitor semakin banyak</v>
      </c>
    </row>
    <row r="30" spans="2:12" ht="47.25" customHeight="1" x14ac:dyDescent="0.35">
      <c r="B30" s="271">
        <f t="shared" si="2"/>
        <v>0</v>
      </c>
      <c r="C30" s="272">
        <v>9</v>
      </c>
      <c r="D30" s="273" t="str">
        <f t="shared" si="1"/>
        <v>Proses bongkar TBS saat grading</v>
      </c>
    </row>
    <row r="31" spans="2:12" ht="47.25" customHeight="1" x14ac:dyDescent="0.35">
      <c r="B31" s="271">
        <f t="shared" si="2"/>
        <v>0</v>
      </c>
      <c r="C31" s="272">
        <v>10</v>
      </c>
      <c r="D31" s="273">
        <f t="shared" si="1"/>
        <v>0</v>
      </c>
    </row>
  </sheetData>
  <conditionalFormatting sqref="K7:K17">
    <cfRule type="cellIs" dxfId="0" priority="1" operator="equal">
      <formula>"Tidak"</formula>
    </cfRule>
  </conditionalFormatting>
  <dataValidations count="2">
    <dataValidation type="list" allowBlank="1" showInputMessage="1" showErrorMessage="1" sqref="K7:K17">
      <formula1>$M$7:$M$8</formula1>
    </dataValidation>
    <dataValidation type="list" allowBlank="1" showInputMessage="1" showErrorMessage="1" sqref="B7:B17 B22:B31">
      <formula1>$S$7:$S$12</formula1>
    </dataValidation>
  </dataValidations>
  <printOptions horizontalCentered="1" verticalCentered="1"/>
  <pageMargins left="0.25" right="0.25" top="0.25" bottom="0.25" header="0.3" footer="0.1"/>
  <pageSetup paperSize="9" scale="60" orientation="landscape" r:id="rId1"/>
  <headerFooter>
    <oddFooter>&amp;R&amp;"Palatino Linotype,Italic"&amp;10Lampiran Kertas Kerja QCC-QCP Rev.2(191213)</oddFooter>
  </headerFooter>
  <rowBreaks count="1" manualBreakCount="1">
    <brk id="18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4257" r:id="rId4" name="Button 1">
              <controlPr defaultSize="0" print="0" autoFill="0" autoPict="0" macro="[0]!Module1.refresh" altText="Proses">
                <anchor moveWithCells="1" sizeWithCells="1">
                  <from>
                    <xdr:col>10</xdr:col>
                    <xdr:colOff>241300</xdr:colOff>
                    <xdr:row>0</xdr:row>
                    <xdr:rowOff>152400</xdr:rowOff>
                  </from>
                  <to>
                    <xdr:col>12</xdr:col>
                    <xdr:colOff>330200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50"/>
  </sheetPr>
  <dimension ref="B1:Q38"/>
  <sheetViews>
    <sheetView showGridLines="0" view="pageBreakPreview" zoomScaleNormal="120" zoomScaleSheetLayoutView="100" workbookViewId="0">
      <selection activeCell="E36" sqref="E36"/>
    </sheetView>
  </sheetViews>
  <sheetFormatPr defaultColWidth="9.1796875" defaultRowHeight="14.5" x14ac:dyDescent="0.35"/>
  <cols>
    <col min="1" max="1" width="3.1796875" style="32" customWidth="1"/>
    <col min="2" max="2" width="12.7265625" style="32" customWidth="1"/>
    <col min="3" max="3" width="7.7265625" style="32" customWidth="1"/>
    <col min="4" max="4" width="11.453125" style="32" customWidth="1"/>
    <col min="5" max="5" width="11.1796875" style="32" bestFit="1" customWidth="1"/>
    <col min="6" max="6" width="10.453125" style="32" customWidth="1"/>
    <col min="7" max="10" width="9.1796875" style="32"/>
    <col min="11" max="11" width="1.7265625" style="32" customWidth="1"/>
    <col min="12" max="14" width="0" style="32" hidden="1" customWidth="1"/>
    <col min="15" max="15" width="14.453125" style="32" hidden="1" customWidth="1"/>
    <col min="16" max="16" width="17.1796875" style="32" hidden="1" customWidth="1"/>
    <col min="17" max="17" width="0" style="32" hidden="1" customWidth="1"/>
    <col min="18" max="16384" width="9.1796875" style="32"/>
  </cols>
  <sheetData>
    <row r="1" spans="2:17" ht="19" thickTop="1" x14ac:dyDescent="0.45">
      <c r="B1" s="33" t="s">
        <v>187</v>
      </c>
      <c r="C1" s="33"/>
      <c r="M1" s="55"/>
      <c r="N1" s="55"/>
      <c r="O1" s="55"/>
      <c r="P1" s="55"/>
      <c r="Q1" s="55"/>
    </row>
    <row r="2" spans="2:17" ht="18.5" x14ac:dyDescent="0.45">
      <c r="B2" s="33"/>
      <c r="C2" s="33"/>
    </row>
    <row r="3" spans="2:17" ht="18.5" x14ac:dyDescent="0.45">
      <c r="B3" s="33"/>
      <c r="C3" s="33"/>
    </row>
    <row r="4" spans="2:17" x14ac:dyDescent="0.35">
      <c r="B4" s="32" t="s">
        <v>188</v>
      </c>
      <c r="N4" s="32" t="s">
        <v>189</v>
      </c>
      <c r="O4" s="32">
        <v>50</v>
      </c>
    </row>
    <row r="5" spans="2:17" ht="8.25" customHeight="1" x14ac:dyDescent="0.35">
      <c r="N5" s="32" t="s">
        <v>190</v>
      </c>
      <c r="O5" s="32">
        <v>50</v>
      </c>
    </row>
    <row r="6" spans="2:17" ht="15" customHeight="1" x14ac:dyDescent="0.35">
      <c r="B6" s="408" t="s">
        <v>191</v>
      </c>
      <c r="C6" s="409"/>
      <c r="D6" s="410" t="str">
        <f>"Target s.d bulan"&amp;G36&amp;I36</f>
        <v>Target s.d bulanSept2025-2026</v>
      </c>
      <c r="E6" s="411"/>
      <c r="F6" s="145" t="str">
        <f>IF(B8&gt;D8,"↓ ","↑")</f>
        <v xml:space="preserve">↓ </v>
      </c>
      <c r="G6" s="143" t="str">
        <f>IF(F6="↑","besar","kecil")</f>
        <v>kecil</v>
      </c>
      <c r="M6" s="32">
        <f>M8-M9</f>
        <v>2.21</v>
      </c>
      <c r="O6" s="59" t="s">
        <v>192</v>
      </c>
    </row>
    <row r="7" spans="2:17" x14ac:dyDescent="0.35">
      <c r="B7" s="60" t="s">
        <v>193</v>
      </c>
      <c r="C7" s="117" t="s">
        <v>149</v>
      </c>
      <c r="D7" s="60" t="s">
        <v>193</v>
      </c>
      <c r="E7" s="117" t="s">
        <v>149</v>
      </c>
      <c r="F7" s="146"/>
      <c r="L7" s="32">
        <v>4</v>
      </c>
    </row>
    <row r="8" spans="2:17" ht="30.75" customHeight="1" x14ac:dyDescent="0.35">
      <c r="B8" s="233">
        <v>20</v>
      </c>
      <c r="C8" s="234" t="s">
        <v>194</v>
      </c>
      <c r="D8" s="118">
        <v>2</v>
      </c>
      <c r="E8" s="234" t="s">
        <v>194</v>
      </c>
      <c r="F8" s="142">
        <f>IF(B8="","",IF(B8&gt;D8,(B8-D8)/B8,(D8-B8)/B8))</f>
        <v>0.9</v>
      </c>
      <c r="L8" s="32">
        <v>2</v>
      </c>
      <c r="M8" s="32">
        <v>4.07</v>
      </c>
      <c r="O8" s="119">
        <v>2.2100000000000002E-2</v>
      </c>
      <c r="P8" s="32">
        <f>M8*O8</f>
        <v>8.9947000000000013E-2</v>
      </c>
    </row>
    <row r="9" spans="2:17" ht="9" customHeight="1" x14ac:dyDescent="0.35">
      <c r="B9" s="143" t="str">
        <f>B6</f>
        <v>Kondisi Saat ini</v>
      </c>
      <c r="C9" s="143" t="str">
        <f>D6</f>
        <v>Target s.d bulanSept2025-2026</v>
      </c>
      <c r="D9" s="143" t="str">
        <f>IF(B8&lt;D8,"GRAFIK TARGET KENAIKAN ","GRAFIK TARGET PENURUNAN")</f>
        <v>GRAFIK TARGET PENURUNAN</v>
      </c>
      <c r="M9" s="32">
        <v>1.86</v>
      </c>
      <c r="P9" s="32">
        <f>M8-P8</f>
        <v>3.9800530000000003</v>
      </c>
    </row>
    <row r="10" spans="2:17" x14ac:dyDescent="0.35">
      <c r="P10" s="32">
        <f>M8-P9</f>
        <v>8.9946999999999999E-2</v>
      </c>
    </row>
    <row r="12" spans="2:17" x14ac:dyDescent="0.35">
      <c r="M12" s="32" t="s">
        <v>195</v>
      </c>
      <c r="N12" s="32" t="s">
        <v>189</v>
      </c>
      <c r="O12" s="32">
        <v>14.74</v>
      </c>
      <c r="P12" s="32">
        <f>O13-O12</f>
        <v>2.42</v>
      </c>
    </row>
    <row r="13" spans="2:17" x14ac:dyDescent="0.35">
      <c r="N13" s="32" t="s">
        <v>190</v>
      </c>
      <c r="O13" s="32">
        <v>17.16</v>
      </c>
    </row>
    <row r="14" spans="2:17" x14ac:dyDescent="0.35">
      <c r="N14" s="32" t="s">
        <v>196</v>
      </c>
      <c r="O14" s="32">
        <f>O13-O12</f>
        <v>2.42</v>
      </c>
    </row>
    <row r="15" spans="2:17" x14ac:dyDescent="0.35">
      <c r="N15" s="32" t="s">
        <v>194</v>
      </c>
      <c r="O15" s="120">
        <f>(O13-O12)/O12</f>
        <v>0.16417910447761194</v>
      </c>
    </row>
    <row r="16" spans="2:17" x14ac:dyDescent="0.35">
      <c r="P16" s="121">
        <f>O17/2</f>
        <v>3491125057.5</v>
      </c>
      <c r="Q16" s="114">
        <f>P16/O17</f>
        <v>0.5</v>
      </c>
    </row>
    <row r="17" spans="2:16" x14ac:dyDescent="0.35">
      <c r="M17" s="32" t="s">
        <v>197</v>
      </c>
      <c r="N17" s="32" t="s">
        <v>189</v>
      </c>
      <c r="O17" s="122">
        <v>6982250115</v>
      </c>
    </row>
    <row r="18" spans="2:16" x14ac:dyDescent="0.35">
      <c r="N18" s="32" t="s">
        <v>190</v>
      </c>
      <c r="O18" s="123">
        <v>5595463275</v>
      </c>
      <c r="P18" s="32">
        <v>2491125057.5</v>
      </c>
    </row>
    <row r="19" spans="2:16" x14ac:dyDescent="0.35">
      <c r="N19" s="32" t="s">
        <v>198</v>
      </c>
      <c r="O19" s="124">
        <f>O17-O18</f>
        <v>1386786840</v>
      </c>
    </row>
    <row r="20" spans="2:16" x14ac:dyDescent="0.35">
      <c r="N20" s="32" t="s">
        <v>194</v>
      </c>
      <c r="O20" s="114">
        <f>(O17-O18)/O17</f>
        <v>0.19861603597109181</v>
      </c>
      <c r="P20" s="114">
        <f>O19/O17</f>
        <v>0.19861603597109181</v>
      </c>
    </row>
    <row r="21" spans="2:16" x14ac:dyDescent="0.35">
      <c r="P21" s="114"/>
    </row>
    <row r="22" spans="2:16" x14ac:dyDescent="0.35">
      <c r="N22" s="32" t="s">
        <v>189</v>
      </c>
      <c r="O22" s="32">
        <v>40</v>
      </c>
    </row>
    <row r="23" spans="2:16" x14ac:dyDescent="0.35">
      <c r="N23" s="32" t="s">
        <v>190</v>
      </c>
      <c r="O23" s="32">
        <v>60</v>
      </c>
    </row>
    <row r="24" spans="2:16" x14ac:dyDescent="0.35">
      <c r="N24" s="32" t="s">
        <v>195</v>
      </c>
      <c r="O24" s="32">
        <f>O23-O22</f>
        <v>20</v>
      </c>
      <c r="P24" s="114">
        <f>(O23-O22)/O22</f>
        <v>0.5</v>
      </c>
    </row>
    <row r="26" spans="2:16" x14ac:dyDescent="0.35">
      <c r="B26" s="125"/>
      <c r="C26" s="126"/>
      <c r="D26" s="126"/>
      <c r="E26" s="126"/>
      <c r="F26" s="126"/>
      <c r="G26" s="126"/>
      <c r="H26" s="126"/>
      <c r="I26" s="126"/>
      <c r="J26" s="127"/>
    </row>
    <row r="27" spans="2:16" x14ac:dyDescent="0.35">
      <c r="B27" s="128" t="s">
        <v>199</v>
      </c>
      <c r="J27" s="129"/>
    </row>
    <row r="28" spans="2:16" ht="21" customHeight="1" x14ac:dyDescent="0.35">
      <c r="B28" s="128" t="s">
        <v>200</v>
      </c>
      <c r="C28" s="32" t="s">
        <v>201</v>
      </c>
      <c r="H28" s="130"/>
      <c r="J28" s="129"/>
    </row>
    <row r="29" spans="2:16" ht="9.75" customHeight="1" x14ac:dyDescent="0.35">
      <c r="B29" s="131" t="s">
        <v>202</v>
      </c>
      <c r="C29" s="130"/>
      <c r="H29" s="130"/>
      <c r="J29" s="129"/>
    </row>
    <row r="30" spans="2:16" ht="21" customHeight="1" x14ac:dyDescent="0.35">
      <c r="B30" s="128" t="s">
        <v>203</v>
      </c>
      <c r="C30" s="32" t="s">
        <v>201</v>
      </c>
      <c r="H30" s="130"/>
      <c r="J30" s="129"/>
    </row>
    <row r="31" spans="2:16" ht="9.75" customHeight="1" x14ac:dyDescent="0.35">
      <c r="B31" s="132" t="s">
        <v>204</v>
      </c>
      <c r="J31" s="129"/>
    </row>
    <row r="32" spans="2:16" ht="21" customHeight="1" x14ac:dyDescent="0.35">
      <c r="B32" s="128" t="s">
        <v>205</v>
      </c>
      <c r="C32" s="32" t="s">
        <v>201</v>
      </c>
      <c r="J32" s="129"/>
    </row>
    <row r="33" spans="2:10" s="39" customFormat="1" ht="9.75" customHeight="1" x14ac:dyDescent="0.35">
      <c r="B33" s="132" t="s">
        <v>206</v>
      </c>
      <c r="J33" s="133"/>
    </row>
    <row r="34" spans="2:10" ht="21" customHeight="1" x14ac:dyDescent="0.35">
      <c r="B34" s="128" t="s">
        <v>207</v>
      </c>
      <c r="C34" s="32" t="s">
        <v>6</v>
      </c>
      <c r="J34" s="129"/>
    </row>
    <row r="35" spans="2:10" s="134" customFormat="1" ht="9.75" customHeight="1" x14ac:dyDescent="0.35">
      <c r="B35" s="131" t="s">
        <v>208</v>
      </c>
      <c r="J35" s="135"/>
    </row>
    <row r="36" spans="2:10" ht="21" customHeight="1" x14ac:dyDescent="0.35">
      <c r="B36" s="128" t="s">
        <v>209</v>
      </c>
      <c r="C36" s="32" t="s">
        <v>210</v>
      </c>
      <c r="E36" s="208" t="str">
        <f>Jadwal!F6</f>
        <v>Okt</v>
      </c>
      <c r="F36" s="68" t="s">
        <v>211</v>
      </c>
      <c r="G36" s="136" t="s">
        <v>51</v>
      </c>
      <c r="H36" s="68" t="s">
        <v>212</v>
      </c>
      <c r="I36" s="207" t="str">
        <f>Jadwal!F5</f>
        <v>2025-2026</v>
      </c>
      <c r="J36" s="129"/>
    </row>
    <row r="37" spans="2:10" s="137" customFormat="1" ht="9.75" customHeight="1" x14ac:dyDescent="0.35">
      <c r="B37" s="131" t="s">
        <v>213</v>
      </c>
      <c r="J37" s="138"/>
    </row>
    <row r="38" spans="2:10" x14ac:dyDescent="0.35">
      <c r="B38" s="139"/>
      <c r="C38" s="140"/>
      <c r="D38" s="140"/>
      <c r="E38" s="140"/>
      <c r="F38" s="140"/>
      <c r="G38" s="140"/>
      <c r="H38" s="140"/>
      <c r="I38" s="140"/>
      <c r="J38" s="141"/>
    </row>
  </sheetData>
  <mergeCells count="2">
    <mergeCell ref="B6:C6"/>
    <mergeCell ref="D6:E6"/>
  </mergeCells>
  <dataValidations count="5">
    <dataValidation allowBlank="1" showInputMessage="1" showErrorMessage="1" prompt="Ada jangka waktu yang jelas (ada due date)" sqref="B36"/>
    <dataValidation allowBlank="1" showInputMessage="1" showErrorMessage="1" prompt="Target realistis (masuk akal)" sqref="B34"/>
    <dataValidation allowBlank="1" showInputMessage="1" showErrorMessage="1" prompt="Target harus menantang untuk dicapai" sqref="B32"/>
    <dataValidation allowBlank="1" showInputMessage="1" showErrorMessage="1" prompt="Target harus terukur (ada nilai &amp; satuan)" sqref="B30"/>
    <dataValidation allowBlank="1" showInputMessage="1" showErrorMessage="1" prompt="Target jelas &amp; fokus" sqref="B28"/>
  </dataValidations>
  <printOptions horizontalCentered="1"/>
  <pageMargins left="0.45" right="0.45" top="0.5" bottom="0.5" header="0.3" footer="0.3"/>
  <pageSetup paperSize="9" orientation="portrait" r:id="rId1"/>
  <headerFooter>
    <oddFooter>&amp;R&amp;"Palatino Linotype,Italic"&amp;10Lampiran Kertas Kerja QCC-QCP Rev.2(191213)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B2:F14"/>
  <sheetViews>
    <sheetView showGridLines="0" view="pageBreakPreview" topLeftCell="A19" zoomScaleNormal="100" zoomScaleSheetLayoutView="100" workbookViewId="0">
      <selection activeCell="C13" sqref="C13:F13"/>
    </sheetView>
  </sheetViews>
  <sheetFormatPr defaultColWidth="9.1796875" defaultRowHeight="14.5" x14ac:dyDescent="0.35"/>
  <cols>
    <col min="1" max="1" width="1.453125" style="32" customWidth="1"/>
    <col min="2" max="2" width="13.7265625" style="32" customWidth="1"/>
    <col min="3" max="6" width="13.453125" style="32" customWidth="1"/>
    <col min="7" max="12" width="9.1796875" style="32"/>
    <col min="13" max="13" width="12.7265625" style="32" customWidth="1"/>
    <col min="14" max="16384" width="9.1796875" style="32"/>
  </cols>
  <sheetData>
    <row r="2" spans="2:6" ht="18.5" x14ac:dyDescent="0.45">
      <c r="B2" s="33" t="s">
        <v>214</v>
      </c>
    </row>
    <row r="4" spans="2:6" x14ac:dyDescent="0.35">
      <c r="B4" s="147" t="s">
        <v>215</v>
      </c>
      <c r="C4" s="415" t="s">
        <v>216</v>
      </c>
      <c r="D4" s="415"/>
      <c r="E4" s="415"/>
      <c r="F4" s="416"/>
    </row>
    <row r="5" spans="2:6" x14ac:dyDescent="0.35">
      <c r="B5" s="113" t="str">
        <f>'Step 2'!B22</f>
        <v>Material</v>
      </c>
      <c r="C5" s="412" t="str">
        <f>'Step 2'!D22</f>
        <v>Tidak semua petani mau diukur lahannya</v>
      </c>
      <c r="D5" s="413"/>
      <c r="E5" s="413"/>
      <c r="F5" s="414"/>
    </row>
    <row r="6" spans="2:6" x14ac:dyDescent="0.35">
      <c r="B6" s="113" t="str">
        <f>'Step 2'!B23</f>
        <v>Environmnet</v>
      </c>
      <c r="C6" s="412" t="str">
        <f>'Step 2'!D23</f>
        <v>Sulit menjumpai pemilik lahan</v>
      </c>
      <c r="D6" s="413"/>
      <c r="E6" s="413"/>
      <c r="F6" s="414"/>
    </row>
    <row r="7" spans="2:6" x14ac:dyDescent="0.35">
      <c r="B7" s="113" t="str">
        <f>'Step 2'!B24</f>
        <v>Mesin</v>
      </c>
      <c r="C7" s="412" t="str">
        <f>'Step 2'!D24</f>
        <v>Sulit mendapatkan legalitas lahan petani &amp; identitas pemiliknya</v>
      </c>
      <c r="D7" s="413"/>
      <c r="E7" s="413"/>
      <c r="F7" s="414"/>
    </row>
    <row r="8" spans="2:6" x14ac:dyDescent="0.35">
      <c r="B8" s="113" t="str">
        <f>'Step 2'!B25</f>
        <v>Environmnet</v>
      </c>
      <c r="C8" s="412" t="str">
        <f>'Step 2'!D25</f>
        <v>Jadwal jumpa dengan petani rata-rata 2-3 x kunjungan</v>
      </c>
      <c r="D8" s="413"/>
      <c r="E8" s="413"/>
      <c r="F8" s="414"/>
    </row>
    <row r="9" spans="2:6" x14ac:dyDescent="0.35">
      <c r="B9" s="113" t="str">
        <f>'Step 2'!B26</f>
        <v>Material</v>
      </c>
      <c r="C9" s="412" t="str">
        <f>'Step 2'!D26</f>
        <v>Masih ada petani yang mengirimkan TBS dalam kondisi tidak standar (mentah, jangkos, busuk, lewat matang, buah kecil, parthenocarpic, kempet)</v>
      </c>
      <c r="D9" s="413"/>
      <c r="E9" s="413"/>
      <c r="F9" s="414"/>
    </row>
    <row r="10" spans="2:6" x14ac:dyDescent="0.35">
      <c r="B10" s="113" t="str">
        <f>'Step 2'!B27</f>
        <v>Man</v>
      </c>
      <c r="C10" s="412" t="str">
        <f>'Step 2'!D27</f>
        <v>Beberapa petani menanam Sawit dari bibit tidak resmi</v>
      </c>
      <c r="D10" s="413"/>
      <c r="E10" s="413"/>
      <c r="F10" s="414"/>
    </row>
    <row r="11" spans="2:6" x14ac:dyDescent="0.35">
      <c r="B11" s="113" t="str">
        <f>'Step 2'!B28</f>
        <v>Mesin</v>
      </c>
      <c r="C11" s="412" t="str">
        <f>'Step 2'!D28</f>
        <v>Harga dari kompetitor yang selalu lebih tinggi</v>
      </c>
      <c r="D11" s="413"/>
      <c r="E11" s="413"/>
      <c r="F11" s="414"/>
    </row>
    <row r="12" spans="2:6" x14ac:dyDescent="0.35">
      <c r="B12" s="113">
        <f>'Step 2'!B29</f>
        <v>0</v>
      </c>
      <c r="C12" s="412" t="str">
        <f>'Step 2'!D29</f>
        <v>PKS Kompetitor semakin banyak</v>
      </c>
      <c r="D12" s="413"/>
      <c r="E12" s="413"/>
      <c r="F12" s="414"/>
    </row>
    <row r="13" spans="2:6" x14ac:dyDescent="0.35">
      <c r="B13" s="113">
        <f>'Step 2'!B30</f>
        <v>0</v>
      </c>
      <c r="C13" s="412" t="str">
        <f>'Step 2'!D30</f>
        <v>Proses bongkar TBS saat grading</v>
      </c>
      <c r="D13" s="413"/>
      <c r="E13" s="413"/>
      <c r="F13" s="414"/>
    </row>
    <row r="14" spans="2:6" x14ac:dyDescent="0.35">
      <c r="B14" s="113">
        <f>'Step 2'!B31</f>
        <v>0</v>
      </c>
      <c r="C14" s="412">
        <f>'Step 2'!D31</f>
        <v>0</v>
      </c>
      <c r="D14" s="413"/>
      <c r="E14" s="413"/>
      <c r="F14" s="414"/>
    </row>
  </sheetData>
  <mergeCells count="11">
    <mergeCell ref="C9:F9"/>
    <mergeCell ref="C4:F4"/>
    <mergeCell ref="C5:F5"/>
    <mergeCell ref="C6:F6"/>
    <mergeCell ref="C7:F7"/>
    <mergeCell ref="C8:F8"/>
    <mergeCell ref="C12:F12"/>
    <mergeCell ref="C13:F13"/>
    <mergeCell ref="C14:F14"/>
    <mergeCell ref="C11:F11"/>
    <mergeCell ref="C10:F10"/>
  </mergeCells>
  <printOptions horizontalCentered="1"/>
  <pageMargins left="0.2" right="0.2" top="0.25" bottom="0.25" header="0.05" footer="0.05"/>
  <pageSetup paperSize="9" scale="98" orientation="landscape" r:id="rId1"/>
  <headerFooter>
    <oddFooter>&amp;R&amp;"Palatino Linotype,Italic"&amp;10Lampiran Kertas Kerja QCC-QCP Rev.2(191213)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2:C18"/>
  <sheetViews>
    <sheetView workbookViewId="0">
      <selection activeCell="I12" sqref="I12"/>
    </sheetView>
  </sheetViews>
  <sheetFormatPr defaultColWidth="8.7265625" defaultRowHeight="14.5" x14ac:dyDescent="0.35"/>
  <sheetData>
    <row r="2" spans="1:3" x14ac:dyDescent="0.35">
      <c r="A2" t="s">
        <v>217</v>
      </c>
    </row>
    <row r="3" spans="1:3" x14ac:dyDescent="0.35">
      <c r="A3" t="s">
        <v>218</v>
      </c>
    </row>
    <row r="4" spans="1:3" x14ac:dyDescent="0.35">
      <c r="A4" s="423" t="s">
        <v>219</v>
      </c>
      <c r="B4" s="423"/>
      <c r="C4" s="423"/>
    </row>
    <row r="5" spans="1:3" x14ac:dyDescent="0.35">
      <c r="A5" t="s">
        <v>220</v>
      </c>
    </row>
    <row r="6" spans="1:3" x14ac:dyDescent="0.35">
      <c r="A6" s="417" t="s">
        <v>221</v>
      </c>
      <c r="B6" s="418"/>
      <c r="C6" s="419"/>
    </row>
    <row r="7" spans="1:3" x14ac:dyDescent="0.35">
      <c r="A7" s="420"/>
      <c r="B7" s="421"/>
      <c r="C7" s="422"/>
    </row>
    <row r="8" spans="1:3" x14ac:dyDescent="0.35">
      <c r="A8" t="s">
        <v>220</v>
      </c>
    </row>
    <row r="9" spans="1:3" x14ac:dyDescent="0.35">
      <c r="A9" s="417" t="s">
        <v>222</v>
      </c>
      <c r="B9" s="418"/>
      <c r="C9" s="419"/>
    </row>
    <row r="10" spans="1:3" x14ac:dyDescent="0.35">
      <c r="A10" s="420"/>
      <c r="B10" s="421"/>
      <c r="C10" s="422"/>
    </row>
    <row r="11" spans="1:3" x14ac:dyDescent="0.35">
      <c r="A11" t="s">
        <v>220</v>
      </c>
    </row>
    <row r="12" spans="1:3" x14ac:dyDescent="0.35">
      <c r="A12" s="417" t="s">
        <v>223</v>
      </c>
      <c r="B12" s="418"/>
      <c r="C12" s="419"/>
    </row>
    <row r="13" spans="1:3" ht="27" customHeight="1" x14ac:dyDescent="0.35">
      <c r="A13" s="420"/>
      <c r="B13" s="421"/>
      <c r="C13" s="422"/>
    </row>
    <row r="14" spans="1:3" x14ac:dyDescent="0.35">
      <c r="A14" t="s">
        <v>224</v>
      </c>
    </row>
    <row r="15" spans="1:3" x14ac:dyDescent="0.35">
      <c r="A15" s="417" t="s">
        <v>225</v>
      </c>
      <c r="B15" s="418"/>
      <c r="C15" s="419"/>
    </row>
    <row r="16" spans="1:3" x14ac:dyDescent="0.35">
      <c r="A16" s="420"/>
      <c r="B16" s="421"/>
      <c r="C16" s="422"/>
    </row>
    <row r="18" spans="1:1" x14ac:dyDescent="0.35">
      <c r="A18" t="s">
        <v>226</v>
      </c>
    </row>
  </sheetData>
  <mergeCells count="5">
    <mergeCell ref="A6:C7"/>
    <mergeCell ref="A4:C4"/>
    <mergeCell ref="A9:C10"/>
    <mergeCell ref="A12:C13"/>
    <mergeCell ref="A15:C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E21"/>
  <sheetViews>
    <sheetView topLeftCell="A7" workbookViewId="0">
      <selection activeCell="L14" sqref="L14"/>
    </sheetView>
  </sheetViews>
  <sheetFormatPr defaultColWidth="8.7265625" defaultRowHeight="14.5" x14ac:dyDescent="0.35"/>
  <cols>
    <col min="1" max="1" width="14.1796875" customWidth="1"/>
  </cols>
  <sheetData>
    <row r="1" spans="1:2" x14ac:dyDescent="0.35">
      <c r="A1" t="s">
        <v>227</v>
      </c>
    </row>
    <row r="2" spans="1:2" x14ac:dyDescent="0.35">
      <c r="A2" t="s">
        <v>228</v>
      </c>
    </row>
    <row r="3" spans="1:2" x14ac:dyDescent="0.35">
      <c r="A3" t="s">
        <v>215</v>
      </c>
    </row>
    <row r="4" spans="1:2" x14ac:dyDescent="0.35">
      <c r="A4" t="s">
        <v>115</v>
      </c>
      <c r="B4" s="256"/>
    </row>
    <row r="5" spans="1:2" x14ac:dyDescent="0.35">
      <c r="A5" t="s">
        <v>116</v>
      </c>
      <c r="B5" s="256" t="e">
        <f>#REF!/#REF!</f>
        <v>#REF!</v>
      </c>
    </row>
    <row r="14" spans="1:2" x14ac:dyDescent="0.35">
      <c r="A14" t="s">
        <v>229</v>
      </c>
    </row>
    <row r="15" spans="1:2" x14ac:dyDescent="0.35">
      <c r="A15" t="s">
        <v>230</v>
      </c>
    </row>
    <row r="16" spans="1:2" x14ac:dyDescent="0.35">
      <c r="A16" t="s">
        <v>231</v>
      </c>
    </row>
    <row r="17" spans="1:5" x14ac:dyDescent="0.35">
      <c r="A17" t="s">
        <v>232</v>
      </c>
    </row>
    <row r="18" spans="1:5" x14ac:dyDescent="0.35">
      <c r="A18" t="s">
        <v>233</v>
      </c>
      <c r="E18" s="2" t="s">
        <v>234</v>
      </c>
    </row>
    <row r="19" spans="1:5" x14ac:dyDescent="0.35">
      <c r="A19" t="s">
        <v>235</v>
      </c>
      <c r="E19" s="2" t="s">
        <v>236</v>
      </c>
    </row>
    <row r="20" spans="1:5" x14ac:dyDescent="0.35">
      <c r="A20" t="s">
        <v>237</v>
      </c>
    </row>
    <row r="21" spans="1:5" x14ac:dyDescent="0.35">
      <c r="A21" t="s">
        <v>238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"/>
  <sheetViews>
    <sheetView zoomScale="46" workbookViewId="0">
      <selection activeCell="F52" sqref="F52"/>
    </sheetView>
  </sheetViews>
  <sheetFormatPr defaultColWidth="8.7265625" defaultRowHeight="14.5" x14ac:dyDescent="0.35"/>
  <cols>
    <col min="1" max="1" width="20.26953125" customWidth="1"/>
    <col min="2" max="2" width="21.453125" customWidth="1"/>
    <col min="3" max="3" width="23.7265625" customWidth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</sheetPr>
  <dimension ref="A1:AL50"/>
  <sheetViews>
    <sheetView showGridLines="0" view="pageBreakPreview" topLeftCell="A25" zoomScale="80" zoomScaleNormal="110" zoomScaleSheetLayoutView="80" workbookViewId="0">
      <selection activeCell="A18" sqref="A18:AL49"/>
    </sheetView>
  </sheetViews>
  <sheetFormatPr defaultColWidth="9.1796875" defaultRowHeight="14.5" x14ac:dyDescent="0.35"/>
  <cols>
    <col min="1" max="2" width="2.7265625" style="32" customWidth="1"/>
    <col min="3" max="3" width="1.7265625" style="32" customWidth="1"/>
    <col min="4" max="4" width="2.453125" style="32" customWidth="1"/>
    <col min="5" max="5" width="4.1796875" style="32" customWidth="1"/>
    <col min="6" max="6" width="2.7265625" style="32" customWidth="1"/>
    <col min="7" max="7" width="4.7265625" style="32" customWidth="1"/>
    <col min="8" max="8" width="3.1796875" style="32" customWidth="1"/>
    <col min="9" max="22" width="4.7265625" style="32" customWidth="1"/>
    <col min="23" max="23" width="6.453125" style="32" customWidth="1"/>
    <col min="24" max="26" width="4.7265625" style="32" customWidth="1"/>
    <col min="27" max="27" width="9.453125" style="32" customWidth="1"/>
    <col min="28" max="28" width="5.1796875" style="32" customWidth="1"/>
    <col min="29" max="29" width="4.7265625" style="32" customWidth="1"/>
    <col min="30" max="30" width="6.1796875" style="32" customWidth="1"/>
    <col min="31" max="31" width="1.1796875" style="32" customWidth="1"/>
    <col min="32" max="33" width="4.1796875" style="32" customWidth="1"/>
    <col min="34" max="34" width="6.453125" style="32" customWidth="1"/>
    <col min="35" max="37" width="4.1796875" style="32" customWidth="1"/>
    <col min="38" max="38" width="5.7265625" style="32" customWidth="1"/>
    <col min="39" max="39" width="4.1796875" style="32" customWidth="1"/>
    <col min="40" max="43" width="5.453125" style="32" customWidth="1"/>
    <col min="44" max="16384" width="9.1796875" style="32"/>
  </cols>
  <sheetData>
    <row r="1" spans="1:25" ht="18.5" x14ac:dyDescent="0.45">
      <c r="A1" s="33" t="s">
        <v>239</v>
      </c>
    </row>
    <row r="2" spans="1:25" ht="10.5" customHeight="1" x14ac:dyDescent="0.45">
      <c r="A2" s="33"/>
    </row>
    <row r="3" spans="1:25" x14ac:dyDescent="0.35">
      <c r="A3" s="116" t="s">
        <v>240</v>
      </c>
    </row>
    <row r="4" spans="1:25" ht="19.5" customHeight="1" x14ac:dyDescent="0.35">
      <c r="A4" s="502" t="s">
        <v>215</v>
      </c>
      <c r="B4" s="503"/>
      <c r="C4" s="503"/>
      <c r="D4" s="504"/>
      <c r="E4" s="148" t="s">
        <v>168</v>
      </c>
      <c r="F4" s="497" t="s">
        <v>241</v>
      </c>
      <c r="G4" s="497"/>
      <c r="H4" s="497"/>
      <c r="I4" s="497"/>
      <c r="J4" s="497"/>
      <c r="K4" s="497"/>
      <c r="L4" s="497"/>
      <c r="M4" s="497"/>
      <c r="N4" s="497"/>
      <c r="O4" s="497"/>
      <c r="P4" s="497" t="s">
        <v>242</v>
      </c>
      <c r="Q4" s="497"/>
      <c r="R4" s="497"/>
      <c r="S4" s="497"/>
      <c r="T4" s="497"/>
      <c r="U4" s="497"/>
      <c r="V4" s="497"/>
      <c r="W4" s="497"/>
      <c r="X4" s="497"/>
      <c r="Y4" s="497"/>
    </row>
    <row r="5" spans="1:25" x14ac:dyDescent="0.35">
      <c r="A5" s="458" t="str">
        <f>'Step 4'!B5</f>
        <v>Material</v>
      </c>
      <c r="B5" s="459"/>
      <c r="C5" s="459"/>
      <c r="D5" s="460"/>
      <c r="E5" s="60">
        <v>1</v>
      </c>
      <c r="F5" s="456" t="str">
        <f>'Step 4'!C5</f>
        <v>Tidak semua petani mau diukur lahannya</v>
      </c>
      <c r="G5" s="456"/>
      <c r="H5" s="456"/>
      <c r="I5" s="456"/>
      <c r="J5" s="456"/>
      <c r="K5" s="456"/>
      <c r="L5" s="456"/>
      <c r="M5" s="456"/>
      <c r="N5" s="456"/>
      <c r="O5" s="456"/>
      <c r="P5" s="457" t="s">
        <v>243</v>
      </c>
      <c r="Q5" s="457"/>
      <c r="R5" s="457"/>
      <c r="S5" s="457"/>
      <c r="T5" s="457"/>
      <c r="U5" s="457"/>
      <c r="V5" s="457"/>
      <c r="W5" s="457"/>
      <c r="X5" s="457"/>
      <c r="Y5" s="457"/>
    </row>
    <row r="6" spans="1:25" x14ac:dyDescent="0.35">
      <c r="A6" s="458" t="str">
        <f>'Step 4'!B6</f>
        <v>Environmnet</v>
      </c>
      <c r="B6" s="459"/>
      <c r="C6" s="459"/>
      <c r="D6" s="460"/>
      <c r="E6" s="60">
        <v>2</v>
      </c>
      <c r="F6" s="456" t="str">
        <f>'Step 4'!C6</f>
        <v>Sulit menjumpai pemilik lahan</v>
      </c>
      <c r="G6" s="456"/>
      <c r="H6" s="456"/>
      <c r="I6" s="456"/>
      <c r="J6" s="456"/>
      <c r="K6" s="456"/>
      <c r="L6" s="456"/>
      <c r="M6" s="456"/>
      <c r="N6" s="456"/>
      <c r="O6" s="456"/>
      <c r="P6" s="457" t="s">
        <v>20</v>
      </c>
      <c r="Q6" s="457"/>
      <c r="R6" s="457"/>
      <c r="S6" s="457"/>
      <c r="T6" s="457"/>
      <c r="U6" s="457"/>
      <c r="V6" s="457"/>
      <c r="W6" s="457"/>
      <c r="X6" s="457"/>
      <c r="Y6" s="457"/>
    </row>
    <row r="7" spans="1:25" x14ac:dyDescent="0.35">
      <c r="A7" s="458" t="str">
        <f>'Step 4'!B7</f>
        <v>Mesin</v>
      </c>
      <c r="B7" s="459"/>
      <c r="C7" s="459"/>
      <c r="D7" s="460"/>
      <c r="E7" s="60">
        <v>3</v>
      </c>
      <c r="F7" s="456" t="str">
        <f>'Step 4'!C7</f>
        <v>Sulit mendapatkan legalitas lahan petani &amp; identitas pemiliknya</v>
      </c>
      <c r="G7" s="456"/>
      <c r="H7" s="456"/>
      <c r="I7" s="456"/>
      <c r="J7" s="456"/>
      <c r="K7" s="456"/>
      <c r="L7" s="456"/>
      <c r="M7" s="456"/>
      <c r="N7" s="456"/>
      <c r="O7" s="456"/>
      <c r="P7" s="457" t="s">
        <v>15</v>
      </c>
      <c r="Q7" s="457"/>
      <c r="R7" s="457"/>
      <c r="S7" s="457"/>
      <c r="T7" s="457"/>
      <c r="U7" s="457"/>
      <c r="V7" s="457"/>
      <c r="W7" s="457"/>
      <c r="X7" s="457"/>
      <c r="Y7" s="457"/>
    </row>
    <row r="8" spans="1:25" x14ac:dyDescent="0.35">
      <c r="A8" s="458" t="str">
        <f>'Step 4'!B8</f>
        <v>Environmnet</v>
      </c>
      <c r="B8" s="459"/>
      <c r="C8" s="459"/>
      <c r="D8" s="460"/>
      <c r="E8" s="60">
        <v>4</v>
      </c>
      <c r="F8" s="456" t="str">
        <f>'Step 4'!C8</f>
        <v>Jadwal jumpa dengan petani rata-rata 2-3 x kunjungan</v>
      </c>
      <c r="G8" s="456"/>
      <c r="H8" s="456"/>
      <c r="I8" s="456"/>
      <c r="J8" s="456"/>
      <c r="K8" s="456"/>
      <c r="L8" s="456"/>
      <c r="M8" s="456"/>
      <c r="N8" s="456"/>
      <c r="O8" s="456"/>
      <c r="P8" s="457" t="s">
        <v>22</v>
      </c>
      <c r="Q8" s="457"/>
      <c r="R8" s="457"/>
      <c r="S8" s="457"/>
      <c r="T8" s="457"/>
      <c r="U8" s="457"/>
      <c r="V8" s="457"/>
      <c r="W8" s="457"/>
      <c r="X8" s="457"/>
      <c r="Y8" s="457"/>
    </row>
    <row r="9" spans="1:25" x14ac:dyDescent="0.35">
      <c r="A9" s="458" t="str">
        <f>'Step 4'!B9</f>
        <v>Material</v>
      </c>
      <c r="B9" s="459"/>
      <c r="C9" s="459"/>
      <c r="D9" s="460"/>
      <c r="E9" s="60">
        <v>5</v>
      </c>
      <c r="F9" s="456" t="str">
        <f>'Step 4'!C9</f>
        <v>Masih ada petani yang mengirimkan TBS dalam kondisi tidak standar (mentah, jangkos, busuk, lewat matang, buah kecil, parthenocarpic, kempet)</v>
      </c>
      <c r="G9" s="456"/>
      <c r="H9" s="456"/>
      <c r="I9" s="456"/>
      <c r="J9" s="456"/>
      <c r="K9" s="456"/>
      <c r="L9" s="456"/>
      <c r="M9" s="456"/>
      <c r="N9" s="456"/>
      <c r="O9" s="456"/>
      <c r="P9" s="457" t="s">
        <v>24</v>
      </c>
      <c r="Q9" s="457"/>
      <c r="R9" s="457"/>
      <c r="S9" s="457"/>
      <c r="T9" s="457"/>
      <c r="U9" s="457"/>
      <c r="V9" s="457"/>
      <c r="W9" s="457"/>
      <c r="X9" s="457"/>
      <c r="Y9" s="457"/>
    </row>
    <row r="10" spans="1:25" x14ac:dyDescent="0.35">
      <c r="A10" s="458" t="str">
        <f>'Step 4'!B10</f>
        <v>Man</v>
      </c>
      <c r="B10" s="459"/>
      <c r="C10" s="459"/>
      <c r="D10" s="460"/>
      <c r="E10" s="60">
        <v>6</v>
      </c>
      <c r="F10" s="456" t="str">
        <f>'Step 4'!C10</f>
        <v>Beberapa petani menanam Sawit dari bibit tidak resmi</v>
      </c>
      <c r="G10" s="456"/>
      <c r="H10" s="456"/>
      <c r="I10" s="456"/>
      <c r="J10" s="456"/>
      <c r="K10" s="456"/>
      <c r="L10" s="456"/>
      <c r="M10" s="456"/>
      <c r="N10" s="456"/>
      <c r="O10" s="456"/>
      <c r="P10" s="457" t="s">
        <v>31</v>
      </c>
      <c r="Q10" s="457"/>
      <c r="R10" s="457"/>
      <c r="S10" s="457"/>
      <c r="T10" s="457"/>
      <c r="U10" s="457"/>
      <c r="V10" s="457"/>
      <c r="W10" s="457"/>
      <c r="X10" s="457"/>
      <c r="Y10" s="457"/>
    </row>
    <row r="11" spans="1:25" x14ac:dyDescent="0.35">
      <c r="A11" s="458" t="str">
        <f>'Step 4'!B11</f>
        <v>Mesin</v>
      </c>
      <c r="B11" s="459"/>
      <c r="C11" s="459"/>
      <c r="D11" s="460"/>
      <c r="E11" s="60">
        <v>7</v>
      </c>
      <c r="F11" s="456" t="str">
        <f>'Step 4'!C11</f>
        <v>Harga dari kompetitor yang selalu lebih tinggi</v>
      </c>
      <c r="G11" s="456"/>
      <c r="H11" s="456"/>
      <c r="I11" s="456"/>
      <c r="J11" s="456"/>
      <c r="K11" s="456"/>
      <c r="L11" s="456"/>
      <c r="M11" s="456"/>
      <c r="N11" s="456"/>
      <c r="O11" s="456"/>
      <c r="P11" s="457" t="s">
        <v>33</v>
      </c>
      <c r="Q11" s="457"/>
      <c r="R11" s="457"/>
      <c r="S11" s="457"/>
      <c r="T11" s="457"/>
      <c r="U11" s="457"/>
      <c r="V11" s="457"/>
      <c r="W11" s="457"/>
      <c r="X11" s="457"/>
      <c r="Y11" s="457"/>
    </row>
    <row r="12" spans="1:25" x14ac:dyDescent="0.35">
      <c r="A12" s="458">
        <f>'Step 4'!B12</f>
        <v>0</v>
      </c>
      <c r="B12" s="459"/>
      <c r="C12" s="459"/>
      <c r="D12" s="460"/>
      <c r="E12" s="60">
        <v>8</v>
      </c>
      <c r="F12" s="456" t="str">
        <f>'Step 4'!C12</f>
        <v>PKS Kompetitor semakin banyak</v>
      </c>
      <c r="G12" s="456"/>
      <c r="H12" s="456"/>
      <c r="I12" s="456"/>
      <c r="J12" s="456"/>
      <c r="K12" s="456"/>
      <c r="L12" s="456"/>
      <c r="M12" s="456"/>
      <c r="N12" s="456"/>
      <c r="O12" s="456"/>
      <c r="P12" s="457" t="s">
        <v>244</v>
      </c>
      <c r="Q12" s="457"/>
      <c r="R12" s="457"/>
      <c r="S12" s="457"/>
      <c r="T12" s="457"/>
      <c r="U12" s="457"/>
      <c r="V12" s="457"/>
      <c r="W12" s="457"/>
      <c r="X12" s="457"/>
      <c r="Y12" s="457"/>
    </row>
    <row r="13" spans="1:25" x14ac:dyDescent="0.35">
      <c r="A13" s="458">
        <f>'Step 4'!B13</f>
        <v>0</v>
      </c>
      <c r="B13" s="459"/>
      <c r="C13" s="459"/>
      <c r="D13" s="460"/>
      <c r="E13" s="60">
        <v>9</v>
      </c>
      <c r="F13" s="456" t="str">
        <f>'Step 4'!C13</f>
        <v>Proses bongkar TBS saat grading</v>
      </c>
      <c r="G13" s="456"/>
      <c r="H13" s="456"/>
      <c r="I13" s="456"/>
      <c r="J13" s="456"/>
      <c r="K13" s="456"/>
      <c r="L13" s="456"/>
      <c r="M13" s="456"/>
      <c r="N13" s="456"/>
      <c r="O13" s="456"/>
      <c r="P13" s="457" t="s">
        <v>245</v>
      </c>
      <c r="Q13" s="457"/>
      <c r="R13" s="457"/>
      <c r="S13" s="457"/>
      <c r="T13" s="457"/>
      <c r="U13" s="457"/>
      <c r="V13" s="457"/>
      <c r="W13" s="457"/>
      <c r="X13" s="457"/>
      <c r="Y13" s="457"/>
    </row>
    <row r="14" spans="1:25" x14ac:dyDescent="0.35">
      <c r="A14" s="458">
        <f>'Step 4'!B14</f>
        <v>0</v>
      </c>
      <c r="B14" s="459"/>
      <c r="C14" s="459"/>
      <c r="D14" s="460"/>
      <c r="E14" s="60">
        <v>10</v>
      </c>
      <c r="F14" s="456">
        <f>'Step 4'!C14</f>
        <v>0</v>
      </c>
      <c r="G14" s="456"/>
      <c r="H14" s="456"/>
      <c r="I14" s="456"/>
      <c r="J14" s="456"/>
      <c r="K14" s="456"/>
      <c r="L14" s="456"/>
      <c r="M14" s="456"/>
      <c r="N14" s="456"/>
      <c r="O14" s="456"/>
      <c r="P14" s="457" t="s">
        <v>246</v>
      </c>
      <c r="Q14" s="457"/>
      <c r="R14" s="457"/>
      <c r="S14" s="457"/>
      <c r="T14" s="457"/>
      <c r="U14" s="457"/>
      <c r="V14" s="457"/>
      <c r="W14" s="457"/>
      <c r="X14" s="457"/>
      <c r="Y14" s="457"/>
    </row>
    <row r="15" spans="1:25" x14ac:dyDescent="0.35">
      <c r="A15" s="149"/>
      <c r="B15" s="149"/>
      <c r="C15" s="149"/>
      <c r="D15" s="149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</row>
    <row r="16" spans="1:25" x14ac:dyDescent="0.35">
      <c r="A16" s="149"/>
      <c r="B16" s="149"/>
      <c r="C16" s="149"/>
      <c r="D16" s="149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</row>
    <row r="17" spans="1:38" x14ac:dyDescent="0.35">
      <c r="A17" s="34" t="s">
        <v>247</v>
      </c>
    </row>
    <row r="18" spans="1:38" x14ac:dyDescent="0.35">
      <c r="A18" s="298" t="s">
        <v>215</v>
      </c>
      <c r="B18" s="299"/>
      <c r="C18" s="299"/>
      <c r="D18" s="300"/>
      <c r="E18" s="308" t="s">
        <v>248</v>
      </c>
      <c r="F18" s="308"/>
      <c r="G18" s="308"/>
      <c r="H18" s="308"/>
      <c r="I18" s="308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298" t="s">
        <v>249</v>
      </c>
      <c r="U18" s="299"/>
      <c r="V18" s="299"/>
      <c r="W18" s="299"/>
      <c r="X18" s="300"/>
      <c r="Y18" s="298" t="s">
        <v>250</v>
      </c>
      <c r="Z18" s="299"/>
      <c r="AA18" s="299"/>
      <c r="AB18" s="299"/>
      <c r="AC18" s="300"/>
      <c r="AD18" s="505" t="s">
        <v>251</v>
      </c>
      <c r="AE18" s="450"/>
      <c r="AF18" s="450"/>
      <c r="AG18" s="450"/>
      <c r="AH18" s="451"/>
      <c r="AI18" s="498" t="s">
        <v>252</v>
      </c>
      <c r="AJ18" s="499"/>
      <c r="AK18" s="441" t="s">
        <v>253</v>
      </c>
      <c r="AL18" s="443"/>
    </row>
    <row r="19" spans="1:38" x14ac:dyDescent="0.35">
      <c r="A19" s="345"/>
      <c r="B19" s="346"/>
      <c r="C19" s="346"/>
      <c r="D19" s="347"/>
      <c r="E19" s="308" t="s">
        <v>146</v>
      </c>
      <c r="F19" s="308"/>
      <c r="G19" s="308"/>
      <c r="H19" s="308"/>
      <c r="I19" s="308"/>
      <c r="J19" s="308"/>
      <c r="K19" s="308"/>
      <c r="L19" s="308"/>
      <c r="M19" s="308" t="s">
        <v>254</v>
      </c>
      <c r="N19" s="308"/>
      <c r="O19" s="308"/>
      <c r="P19" s="308"/>
      <c r="Q19" s="308"/>
      <c r="R19" s="308"/>
      <c r="S19" s="308"/>
      <c r="T19" s="345"/>
      <c r="U19" s="346"/>
      <c r="V19" s="346"/>
      <c r="W19" s="346"/>
      <c r="X19" s="347"/>
      <c r="Y19" s="345"/>
      <c r="Z19" s="346"/>
      <c r="AA19" s="346"/>
      <c r="AB19" s="346"/>
      <c r="AC19" s="347"/>
      <c r="AD19" s="506" t="s">
        <v>255</v>
      </c>
      <c r="AE19" s="454"/>
      <c r="AF19" s="454"/>
      <c r="AG19" s="454"/>
      <c r="AH19" s="455"/>
      <c r="AI19" s="500"/>
      <c r="AJ19" s="501"/>
      <c r="AK19" s="447"/>
      <c r="AL19" s="449"/>
    </row>
    <row r="20" spans="1:38" ht="21.75" customHeight="1" x14ac:dyDescent="0.35">
      <c r="A20" s="424" t="str">
        <f>A5</f>
        <v>Material</v>
      </c>
      <c r="B20" s="425"/>
      <c r="C20" s="425"/>
      <c r="D20" s="426"/>
      <c r="E20" s="432" t="str">
        <f>P5</f>
        <v>Abc</v>
      </c>
      <c r="F20" s="433"/>
      <c r="G20" s="433"/>
      <c r="H20" s="433"/>
      <c r="I20" s="433"/>
      <c r="J20" s="433"/>
      <c r="K20" s="433"/>
      <c r="L20" s="434"/>
      <c r="M20" s="461"/>
      <c r="N20" s="462"/>
      <c r="O20" s="462"/>
      <c r="P20" s="462"/>
      <c r="Q20" s="462"/>
      <c r="R20" s="462"/>
      <c r="S20" s="463"/>
      <c r="T20" s="461"/>
      <c r="U20" s="462"/>
      <c r="V20" s="462"/>
      <c r="W20" s="462"/>
      <c r="X20" s="463"/>
      <c r="Y20" s="461"/>
      <c r="Z20" s="462"/>
      <c r="AA20" s="462"/>
      <c r="AB20" s="462"/>
      <c r="AC20" s="463"/>
      <c r="AD20" s="150" t="s">
        <v>256</v>
      </c>
      <c r="AE20" s="126" t="s">
        <v>6</v>
      </c>
      <c r="AF20" s="470"/>
      <c r="AG20" s="470"/>
      <c r="AH20" s="471"/>
      <c r="AI20" s="298"/>
      <c r="AJ20" s="300"/>
      <c r="AK20" s="298"/>
      <c r="AL20" s="300"/>
    </row>
    <row r="21" spans="1:38" ht="23.25" customHeight="1" x14ac:dyDescent="0.35">
      <c r="A21" s="427"/>
      <c r="B21" s="355"/>
      <c r="C21" s="355"/>
      <c r="D21" s="428"/>
      <c r="E21" s="435"/>
      <c r="F21" s="436"/>
      <c r="G21" s="436"/>
      <c r="H21" s="436"/>
      <c r="I21" s="436"/>
      <c r="J21" s="436"/>
      <c r="K21" s="436"/>
      <c r="L21" s="437"/>
      <c r="M21" s="464"/>
      <c r="N21" s="465"/>
      <c r="O21" s="465"/>
      <c r="P21" s="465"/>
      <c r="Q21" s="465"/>
      <c r="R21" s="465"/>
      <c r="S21" s="466"/>
      <c r="T21" s="464"/>
      <c r="U21" s="465"/>
      <c r="V21" s="465"/>
      <c r="W21" s="465"/>
      <c r="X21" s="466"/>
      <c r="Y21" s="464"/>
      <c r="Z21" s="465"/>
      <c r="AA21" s="465"/>
      <c r="AB21" s="465"/>
      <c r="AC21" s="466"/>
      <c r="AD21" s="151" t="s">
        <v>257</v>
      </c>
      <c r="AE21" s="32" t="s">
        <v>6</v>
      </c>
      <c r="AF21" s="478"/>
      <c r="AG21" s="478"/>
      <c r="AH21" s="479"/>
      <c r="AI21" s="343"/>
      <c r="AJ21" s="344"/>
      <c r="AK21" s="343"/>
      <c r="AL21" s="344"/>
    </row>
    <row r="22" spans="1:38" ht="22.5" customHeight="1" x14ac:dyDescent="0.35">
      <c r="A22" s="429"/>
      <c r="B22" s="430"/>
      <c r="C22" s="430"/>
      <c r="D22" s="431"/>
      <c r="E22" s="438"/>
      <c r="F22" s="439"/>
      <c r="G22" s="439"/>
      <c r="H22" s="439"/>
      <c r="I22" s="439"/>
      <c r="J22" s="439"/>
      <c r="K22" s="439"/>
      <c r="L22" s="440"/>
      <c r="M22" s="467"/>
      <c r="N22" s="468"/>
      <c r="O22" s="468"/>
      <c r="P22" s="468"/>
      <c r="Q22" s="468"/>
      <c r="R22" s="468"/>
      <c r="S22" s="469"/>
      <c r="T22" s="467"/>
      <c r="U22" s="468"/>
      <c r="V22" s="468"/>
      <c r="W22" s="468"/>
      <c r="X22" s="469"/>
      <c r="Y22" s="467"/>
      <c r="Z22" s="468"/>
      <c r="AA22" s="468"/>
      <c r="AB22" s="468"/>
      <c r="AC22" s="469"/>
      <c r="AD22" s="152" t="s">
        <v>258</v>
      </c>
      <c r="AE22" s="140" t="s">
        <v>6</v>
      </c>
      <c r="AF22" s="478"/>
      <c r="AG22" s="478"/>
      <c r="AH22" s="479"/>
      <c r="AI22" s="345"/>
      <c r="AJ22" s="347"/>
      <c r="AK22" s="345"/>
      <c r="AL22" s="347"/>
    </row>
    <row r="23" spans="1:38" x14ac:dyDescent="0.35">
      <c r="A23" s="424" t="str">
        <f>A6</f>
        <v>Environmnet</v>
      </c>
      <c r="B23" s="425"/>
      <c r="C23" s="425"/>
      <c r="D23" s="426"/>
      <c r="E23" s="432" t="str">
        <f>P6</f>
        <v>A</v>
      </c>
      <c r="F23" s="433"/>
      <c r="G23" s="433"/>
      <c r="H23" s="433"/>
      <c r="I23" s="433"/>
      <c r="J23" s="433"/>
      <c r="K23" s="433"/>
      <c r="L23" s="434"/>
      <c r="M23" s="461"/>
      <c r="N23" s="462"/>
      <c r="O23" s="462"/>
      <c r="P23" s="462"/>
      <c r="Q23" s="462"/>
      <c r="R23" s="462"/>
      <c r="S23" s="463"/>
      <c r="T23" s="461"/>
      <c r="U23" s="462"/>
      <c r="V23" s="462"/>
      <c r="W23" s="462"/>
      <c r="X23" s="463"/>
      <c r="Y23" s="488"/>
      <c r="Z23" s="489"/>
      <c r="AA23" s="489"/>
      <c r="AB23" s="489"/>
      <c r="AC23" s="490"/>
      <c r="AD23" s="150" t="s">
        <v>256</v>
      </c>
      <c r="AE23" s="126" t="s">
        <v>6</v>
      </c>
      <c r="AF23" s="470"/>
      <c r="AG23" s="470"/>
      <c r="AH23" s="471"/>
      <c r="AI23" s="482"/>
      <c r="AJ23" s="483"/>
      <c r="AK23" s="298"/>
      <c r="AL23" s="300"/>
    </row>
    <row r="24" spans="1:38" x14ac:dyDescent="0.35">
      <c r="A24" s="427"/>
      <c r="B24" s="355"/>
      <c r="C24" s="355"/>
      <c r="D24" s="428"/>
      <c r="E24" s="435"/>
      <c r="F24" s="436"/>
      <c r="G24" s="436"/>
      <c r="H24" s="436"/>
      <c r="I24" s="436"/>
      <c r="J24" s="436"/>
      <c r="K24" s="436"/>
      <c r="L24" s="437"/>
      <c r="M24" s="464"/>
      <c r="N24" s="465"/>
      <c r="O24" s="465"/>
      <c r="P24" s="465"/>
      <c r="Q24" s="465"/>
      <c r="R24" s="465"/>
      <c r="S24" s="466"/>
      <c r="T24" s="464"/>
      <c r="U24" s="465"/>
      <c r="V24" s="465"/>
      <c r="W24" s="465"/>
      <c r="X24" s="466"/>
      <c r="Y24" s="491"/>
      <c r="Z24" s="492"/>
      <c r="AA24" s="492"/>
      <c r="AB24" s="492"/>
      <c r="AC24" s="493"/>
      <c r="AD24" s="151" t="s">
        <v>257</v>
      </c>
      <c r="AE24" s="32" t="s">
        <v>6</v>
      </c>
      <c r="AF24" s="478"/>
      <c r="AG24" s="478"/>
      <c r="AH24" s="479"/>
      <c r="AI24" s="484"/>
      <c r="AJ24" s="485"/>
      <c r="AK24" s="343"/>
      <c r="AL24" s="344"/>
    </row>
    <row r="25" spans="1:38" x14ac:dyDescent="0.35">
      <c r="A25" s="429"/>
      <c r="B25" s="430"/>
      <c r="C25" s="430"/>
      <c r="D25" s="431"/>
      <c r="E25" s="438"/>
      <c r="F25" s="439"/>
      <c r="G25" s="439"/>
      <c r="H25" s="439"/>
      <c r="I25" s="439"/>
      <c r="J25" s="439"/>
      <c r="K25" s="439"/>
      <c r="L25" s="440"/>
      <c r="M25" s="467"/>
      <c r="N25" s="468"/>
      <c r="O25" s="468"/>
      <c r="P25" s="468"/>
      <c r="Q25" s="468"/>
      <c r="R25" s="468"/>
      <c r="S25" s="469"/>
      <c r="T25" s="467"/>
      <c r="U25" s="468"/>
      <c r="V25" s="468"/>
      <c r="W25" s="468"/>
      <c r="X25" s="469"/>
      <c r="Y25" s="494"/>
      <c r="Z25" s="495"/>
      <c r="AA25" s="495"/>
      <c r="AB25" s="495"/>
      <c r="AC25" s="496"/>
      <c r="AD25" s="152" t="s">
        <v>258</v>
      </c>
      <c r="AE25" s="140" t="s">
        <v>6</v>
      </c>
      <c r="AF25" s="480"/>
      <c r="AG25" s="480"/>
      <c r="AH25" s="481"/>
      <c r="AI25" s="486"/>
      <c r="AJ25" s="487"/>
      <c r="AK25" s="345"/>
      <c r="AL25" s="347"/>
    </row>
    <row r="26" spans="1:38" x14ac:dyDescent="0.35">
      <c r="A26" s="424" t="str">
        <f>A7</f>
        <v>Mesin</v>
      </c>
      <c r="B26" s="425"/>
      <c r="C26" s="425"/>
      <c r="D26" s="426"/>
      <c r="E26" s="432" t="str">
        <f>P7</f>
        <v>B</v>
      </c>
      <c r="F26" s="433"/>
      <c r="G26" s="433"/>
      <c r="H26" s="433"/>
      <c r="I26" s="433"/>
      <c r="J26" s="433"/>
      <c r="K26" s="433"/>
      <c r="L26" s="434"/>
      <c r="M26" s="461"/>
      <c r="N26" s="462"/>
      <c r="O26" s="462"/>
      <c r="P26" s="462"/>
      <c r="Q26" s="462"/>
      <c r="R26" s="462"/>
      <c r="S26" s="463"/>
      <c r="T26" s="461"/>
      <c r="U26" s="462"/>
      <c r="V26" s="462"/>
      <c r="W26" s="462"/>
      <c r="X26" s="463"/>
      <c r="Y26" s="488"/>
      <c r="Z26" s="489"/>
      <c r="AA26" s="489"/>
      <c r="AB26" s="489"/>
      <c r="AC26" s="490"/>
      <c r="AD26" s="150" t="s">
        <v>256</v>
      </c>
      <c r="AE26" s="126" t="s">
        <v>6</v>
      </c>
      <c r="AF26" s="470"/>
      <c r="AG26" s="470"/>
      <c r="AH26" s="471"/>
      <c r="AI26" s="472"/>
      <c r="AJ26" s="473"/>
      <c r="AK26" s="298"/>
      <c r="AL26" s="300"/>
    </row>
    <row r="27" spans="1:38" x14ac:dyDescent="0.35">
      <c r="A27" s="427"/>
      <c r="B27" s="355"/>
      <c r="C27" s="355"/>
      <c r="D27" s="428"/>
      <c r="E27" s="435"/>
      <c r="F27" s="436"/>
      <c r="G27" s="436"/>
      <c r="H27" s="436"/>
      <c r="I27" s="436"/>
      <c r="J27" s="436"/>
      <c r="K27" s="436"/>
      <c r="L27" s="437"/>
      <c r="M27" s="464"/>
      <c r="N27" s="465"/>
      <c r="O27" s="465"/>
      <c r="P27" s="465"/>
      <c r="Q27" s="465"/>
      <c r="R27" s="465"/>
      <c r="S27" s="466"/>
      <c r="T27" s="464"/>
      <c r="U27" s="465"/>
      <c r="V27" s="465"/>
      <c r="W27" s="465"/>
      <c r="X27" s="466"/>
      <c r="Y27" s="491"/>
      <c r="Z27" s="492"/>
      <c r="AA27" s="492"/>
      <c r="AB27" s="492"/>
      <c r="AC27" s="493"/>
      <c r="AD27" s="151" t="s">
        <v>257</v>
      </c>
      <c r="AE27" s="32" t="s">
        <v>6</v>
      </c>
      <c r="AF27" s="478"/>
      <c r="AG27" s="478"/>
      <c r="AH27" s="479"/>
      <c r="AI27" s="474"/>
      <c r="AJ27" s="475"/>
      <c r="AK27" s="343"/>
      <c r="AL27" s="344"/>
    </row>
    <row r="28" spans="1:38" x14ac:dyDescent="0.35">
      <c r="A28" s="429"/>
      <c r="B28" s="430"/>
      <c r="C28" s="430"/>
      <c r="D28" s="431"/>
      <c r="E28" s="438"/>
      <c r="F28" s="439"/>
      <c r="G28" s="439"/>
      <c r="H28" s="439"/>
      <c r="I28" s="439"/>
      <c r="J28" s="439"/>
      <c r="K28" s="439"/>
      <c r="L28" s="440"/>
      <c r="M28" s="467"/>
      <c r="N28" s="468"/>
      <c r="O28" s="468"/>
      <c r="P28" s="468"/>
      <c r="Q28" s="468"/>
      <c r="R28" s="468"/>
      <c r="S28" s="469"/>
      <c r="T28" s="467"/>
      <c r="U28" s="468"/>
      <c r="V28" s="468"/>
      <c r="W28" s="468"/>
      <c r="X28" s="469"/>
      <c r="Y28" s="494"/>
      <c r="Z28" s="495"/>
      <c r="AA28" s="495"/>
      <c r="AB28" s="495"/>
      <c r="AC28" s="496"/>
      <c r="AD28" s="152" t="s">
        <v>258</v>
      </c>
      <c r="AE28" s="140" t="s">
        <v>6</v>
      </c>
      <c r="AF28" s="480"/>
      <c r="AG28" s="480"/>
      <c r="AH28" s="481"/>
      <c r="AI28" s="476"/>
      <c r="AJ28" s="477"/>
      <c r="AK28" s="345"/>
      <c r="AL28" s="347"/>
    </row>
    <row r="29" spans="1:38" x14ac:dyDescent="0.35">
      <c r="A29" s="424" t="str">
        <f>A8</f>
        <v>Environmnet</v>
      </c>
      <c r="B29" s="425"/>
      <c r="C29" s="425"/>
      <c r="D29" s="426"/>
      <c r="E29" s="432" t="str">
        <f>P8</f>
        <v>C</v>
      </c>
      <c r="F29" s="433"/>
      <c r="G29" s="433"/>
      <c r="H29" s="433"/>
      <c r="I29" s="433"/>
      <c r="J29" s="433"/>
      <c r="K29" s="433"/>
      <c r="L29" s="434"/>
      <c r="M29" s="461"/>
      <c r="N29" s="462"/>
      <c r="O29" s="462"/>
      <c r="P29" s="462"/>
      <c r="Q29" s="462"/>
      <c r="R29" s="462"/>
      <c r="S29" s="463"/>
      <c r="T29" s="461"/>
      <c r="U29" s="462"/>
      <c r="V29" s="462"/>
      <c r="W29" s="462"/>
      <c r="X29" s="463"/>
      <c r="Y29" s="461"/>
      <c r="Z29" s="462"/>
      <c r="AA29" s="462"/>
      <c r="AB29" s="462"/>
      <c r="AC29" s="463"/>
      <c r="AD29" s="150" t="s">
        <v>256</v>
      </c>
      <c r="AE29" s="126" t="s">
        <v>6</v>
      </c>
      <c r="AF29" s="470"/>
      <c r="AG29" s="470"/>
      <c r="AH29" s="471"/>
      <c r="AI29" s="472"/>
      <c r="AJ29" s="473"/>
      <c r="AK29" s="298"/>
      <c r="AL29" s="300"/>
    </row>
    <row r="30" spans="1:38" x14ac:dyDescent="0.35">
      <c r="A30" s="427"/>
      <c r="B30" s="355"/>
      <c r="C30" s="355"/>
      <c r="D30" s="428"/>
      <c r="E30" s="435"/>
      <c r="F30" s="436"/>
      <c r="G30" s="436"/>
      <c r="H30" s="436"/>
      <c r="I30" s="436"/>
      <c r="J30" s="436"/>
      <c r="K30" s="436"/>
      <c r="L30" s="437"/>
      <c r="M30" s="464"/>
      <c r="N30" s="465"/>
      <c r="O30" s="465"/>
      <c r="P30" s="465"/>
      <c r="Q30" s="465"/>
      <c r="R30" s="465"/>
      <c r="S30" s="466"/>
      <c r="T30" s="464"/>
      <c r="U30" s="465"/>
      <c r="V30" s="465"/>
      <c r="W30" s="465"/>
      <c r="X30" s="466"/>
      <c r="Y30" s="464"/>
      <c r="Z30" s="465"/>
      <c r="AA30" s="465"/>
      <c r="AB30" s="465"/>
      <c r="AC30" s="466"/>
      <c r="AD30" s="151" t="s">
        <v>257</v>
      </c>
      <c r="AE30" s="32" t="s">
        <v>6</v>
      </c>
      <c r="AF30" s="478"/>
      <c r="AG30" s="478"/>
      <c r="AH30" s="479"/>
      <c r="AI30" s="474"/>
      <c r="AJ30" s="475"/>
      <c r="AK30" s="343"/>
      <c r="AL30" s="344"/>
    </row>
    <row r="31" spans="1:38" x14ac:dyDescent="0.35">
      <c r="A31" s="429"/>
      <c r="B31" s="430"/>
      <c r="C31" s="430"/>
      <c r="D31" s="431"/>
      <c r="E31" s="438"/>
      <c r="F31" s="439"/>
      <c r="G31" s="439"/>
      <c r="H31" s="439"/>
      <c r="I31" s="439"/>
      <c r="J31" s="439"/>
      <c r="K31" s="439"/>
      <c r="L31" s="440"/>
      <c r="M31" s="467"/>
      <c r="N31" s="468"/>
      <c r="O31" s="468"/>
      <c r="P31" s="468"/>
      <c r="Q31" s="468"/>
      <c r="R31" s="468"/>
      <c r="S31" s="469"/>
      <c r="T31" s="467"/>
      <c r="U31" s="468"/>
      <c r="V31" s="468"/>
      <c r="W31" s="468"/>
      <c r="X31" s="469"/>
      <c r="Y31" s="467"/>
      <c r="Z31" s="468"/>
      <c r="AA31" s="468"/>
      <c r="AB31" s="468"/>
      <c r="AC31" s="469"/>
      <c r="AD31" s="152" t="s">
        <v>258</v>
      </c>
      <c r="AE31" s="140" t="s">
        <v>6</v>
      </c>
      <c r="AF31" s="480"/>
      <c r="AG31" s="480"/>
      <c r="AH31" s="481"/>
      <c r="AI31" s="476"/>
      <c r="AJ31" s="477"/>
      <c r="AK31" s="345"/>
      <c r="AL31" s="347"/>
    </row>
    <row r="32" spans="1:38" x14ac:dyDescent="0.35">
      <c r="A32" s="424" t="str">
        <f>A9</f>
        <v>Material</v>
      </c>
      <c r="B32" s="425"/>
      <c r="C32" s="425"/>
      <c r="D32" s="426"/>
      <c r="E32" s="432" t="str">
        <f>P9</f>
        <v>D</v>
      </c>
      <c r="F32" s="433"/>
      <c r="G32" s="433"/>
      <c r="H32" s="433"/>
      <c r="I32" s="433"/>
      <c r="J32" s="433"/>
      <c r="K32" s="433"/>
      <c r="L32" s="434"/>
      <c r="M32" s="461"/>
      <c r="N32" s="462"/>
      <c r="O32" s="462"/>
      <c r="P32" s="462"/>
      <c r="Q32" s="462"/>
      <c r="R32" s="462"/>
      <c r="S32" s="463"/>
      <c r="T32" s="461"/>
      <c r="U32" s="462"/>
      <c r="V32" s="462"/>
      <c r="W32" s="462"/>
      <c r="X32" s="463"/>
      <c r="Y32" s="461"/>
      <c r="Z32" s="462"/>
      <c r="AA32" s="462"/>
      <c r="AB32" s="462"/>
      <c r="AC32" s="463"/>
      <c r="AD32" s="150" t="s">
        <v>256</v>
      </c>
      <c r="AE32" s="126" t="s">
        <v>6</v>
      </c>
      <c r="AF32" s="470"/>
      <c r="AG32" s="470"/>
      <c r="AH32" s="471"/>
      <c r="AI32" s="298"/>
      <c r="AJ32" s="300"/>
      <c r="AK32" s="298"/>
      <c r="AL32" s="300"/>
    </row>
    <row r="33" spans="1:38" x14ac:dyDescent="0.35">
      <c r="A33" s="427"/>
      <c r="B33" s="355"/>
      <c r="C33" s="355"/>
      <c r="D33" s="428"/>
      <c r="E33" s="435"/>
      <c r="F33" s="436"/>
      <c r="G33" s="436"/>
      <c r="H33" s="436"/>
      <c r="I33" s="436"/>
      <c r="J33" s="436"/>
      <c r="K33" s="436"/>
      <c r="L33" s="437"/>
      <c r="M33" s="464"/>
      <c r="N33" s="465"/>
      <c r="O33" s="465"/>
      <c r="P33" s="465"/>
      <c r="Q33" s="465"/>
      <c r="R33" s="465"/>
      <c r="S33" s="466"/>
      <c r="T33" s="464"/>
      <c r="U33" s="465"/>
      <c r="V33" s="465"/>
      <c r="W33" s="465"/>
      <c r="X33" s="466"/>
      <c r="Y33" s="464"/>
      <c r="Z33" s="465"/>
      <c r="AA33" s="465"/>
      <c r="AB33" s="465"/>
      <c r="AC33" s="466"/>
      <c r="AD33" s="151" t="s">
        <v>257</v>
      </c>
      <c r="AE33" s="32" t="s">
        <v>6</v>
      </c>
      <c r="AF33" s="478"/>
      <c r="AG33" s="478"/>
      <c r="AH33" s="479"/>
      <c r="AI33" s="343"/>
      <c r="AJ33" s="344"/>
      <c r="AK33" s="343"/>
      <c r="AL33" s="344"/>
    </row>
    <row r="34" spans="1:38" x14ac:dyDescent="0.35">
      <c r="A34" s="429"/>
      <c r="B34" s="430"/>
      <c r="C34" s="430"/>
      <c r="D34" s="431"/>
      <c r="E34" s="438"/>
      <c r="F34" s="439"/>
      <c r="G34" s="439"/>
      <c r="H34" s="439"/>
      <c r="I34" s="439"/>
      <c r="J34" s="439"/>
      <c r="K34" s="439"/>
      <c r="L34" s="440"/>
      <c r="M34" s="467"/>
      <c r="N34" s="468"/>
      <c r="O34" s="468"/>
      <c r="P34" s="468"/>
      <c r="Q34" s="468"/>
      <c r="R34" s="468"/>
      <c r="S34" s="469"/>
      <c r="T34" s="467"/>
      <c r="U34" s="468"/>
      <c r="V34" s="468"/>
      <c r="W34" s="468"/>
      <c r="X34" s="469"/>
      <c r="Y34" s="467"/>
      <c r="Z34" s="468"/>
      <c r="AA34" s="468"/>
      <c r="AB34" s="468"/>
      <c r="AC34" s="469"/>
      <c r="AD34" s="152" t="s">
        <v>258</v>
      </c>
      <c r="AE34" s="140" t="s">
        <v>6</v>
      </c>
      <c r="AF34" s="480"/>
      <c r="AG34" s="480"/>
      <c r="AH34" s="481"/>
      <c r="AI34" s="345"/>
      <c r="AJ34" s="347"/>
      <c r="AK34" s="345"/>
      <c r="AL34" s="347"/>
    </row>
    <row r="35" spans="1:38" x14ac:dyDescent="0.35">
      <c r="A35" s="424" t="str">
        <f>A10</f>
        <v>Man</v>
      </c>
      <c r="B35" s="425"/>
      <c r="C35" s="425"/>
      <c r="D35" s="426"/>
      <c r="E35" s="432" t="str">
        <f>P10</f>
        <v>E</v>
      </c>
      <c r="F35" s="433"/>
      <c r="G35" s="433"/>
      <c r="H35" s="433"/>
      <c r="I35" s="433"/>
      <c r="J35" s="433"/>
      <c r="K35" s="433"/>
      <c r="L35" s="434"/>
      <c r="M35" s="441"/>
      <c r="N35" s="442"/>
      <c r="O35" s="442"/>
      <c r="P35" s="442"/>
      <c r="Q35" s="442"/>
      <c r="R35" s="442"/>
      <c r="S35" s="443"/>
      <c r="T35" s="441"/>
      <c r="U35" s="442"/>
      <c r="V35" s="442"/>
      <c r="W35" s="442"/>
      <c r="X35" s="443"/>
      <c r="Y35" s="441"/>
      <c r="Z35" s="442"/>
      <c r="AA35" s="442"/>
      <c r="AB35" s="442"/>
      <c r="AC35" s="443"/>
      <c r="AD35" s="150" t="s">
        <v>256</v>
      </c>
      <c r="AE35" s="126" t="s">
        <v>6</v>
      </c>
      <c r="AF35" s="450"/>
      <c r="AG35" s="450"/>
      <c r="AH35" s="451"/>
      <c r="AI35" s="298"/>
      <c r="AJ35" s="300"/>
      <c r="AK35" s="298"/>
      <c r="AL35" s="300"/>
    </row>
    <row r="36" spans="1:38" x14ac:dyDescent="0.35">
      <c r="A36" s="427"/>
      <c r="B36" s="355"/>
      <c r="C36" s="355"/>
      <c r="D36" s="428"/>
      <c r="E36" s="435"/>
      <c r="F36" s="436"/>
      <c r="G36" s="436"/>
      <c r="H36" s="436"/>
      <c r="I36" s="436"/>
      <c r="J36" s="436"/>
      <c r="K36" s="436"/>
      <c r="L36" s="437"/>
      <c r="M36" s="444"/>
      <c r="N36" s="445"/>
      <c r="O36" s="445"/>
      <c r="P36" s="445"/>
      <c r="Q36" s="445"/>
      <c r="R36" s="445"/>
      <c r="S36" s="446"/>
      <c r="T36" s="444"/>
      <c r="U36" s="445"/>
      <c r="V36" s="445"/>
      <c r="W36" s="445"/>
      <c r="X36" s="446"/>
      <c r="Y36" s="444"/>
      <c r="Z36" s="445"/>
      <c r="AA36" s="445"/>
      <c r="AB36" s="445"/>
      <c r="AC36" s="446"/>
      <c r="AD36" s="151" t="s">
        <v>257</v>
      </c>
      <c r="AE36" s="32" t="s">
        <v>6</v>
      </c>
      <c r="AF36" s="452"/>
      <c r="AG36" s="452"/>
      <c r="AH36" s="453"/>
      <c r="AI36" s="343"/>
      <c r="AJ36" s="344"/>
      <c r="AK36" s="343"/>
      <c r="AL36" s="344"/>
    </row>
    <row r="37" spans="1:38" x14ac:dyDescent="0.35">
      <c r="A37" s="429"/>
      <c r="B37" s="430"/>
      <c r="C37" s="430"/>
      <c r="D37" s="431"/>
      <c r="E37" s="438"/>
      <c r="F37" s="439"/>
      <c r="G37" s="439"/>
      <c r="H37" s="439"/>
      <c r="I37" s="439"/>
      <c r="J37" s="439"/>
      <c r="K37" s="439"/>
      <c r="L37" s="440"/>
      <c r="M37" s="447"/>
      <c r="N37" s="448"/>
      <c r="O37" s="448"/>
      <c r="P37" s="448"/>
      <c r="Q37" s="448"/>
      <c r="R37" s="448"/>
      <c r="S37" s="449"/>
      <c r="T37" s="447"/>
      <c r="U37" s="448"/>
      <c r="V37" s="448"/>
      <c r="W37" s="448"/>
      <c r="X37" s="449"/>
      <c r="Y37" s="447"/>
      <c r="Z37" s="448"/>
      <c r="AA37" s="448"/>
      <c r="AB37" s="448"/>
      <c r="AC37" s="449"/>
      <c r="AD37" s="152" t="s">
        <v>258</v>
      </c>
      <c r="AE37" s="140" t="s">
        <v>6</v>
      </c>
      <c r="AF37" s="454"/>
      <c r="AG37" s="454"/>
      <c r="AH37" s="455"/>
      <c r="AI37" s="345"/>
      <c r="AJ37" s="347"/>
      <c r="AK37" s="345"/>
      <c r="AL37" s="347"/>
    </row>
    <row r="38" spans="1:38" x14ac:dyDescent="0.35">
      <c r="A38" s="424" t="str">
        <f>A11</f>
        <v>Mesin</v>
      </c>
      <c r="B38" s="425"/>
      <c r="C38" s="425"/>
      <c r="D38" s="426"/>
      <c r="E38" s="432" t="str">
        <f>P11</f>
        <v>F</v>
      </c>
      <c r="F38" s="433"/>
      <c r="G38" s="433"/>
      <c r="H38" s="433"/>
      <c r="I38" s="433"/>
      <c r="J38" s="433"/>
      <c r="K38" s="433"/>
      <c r="L38" s="434"/>
      <c r="M38" s="441"/>
      <c r="N38" s="442"/>
      <c r="O38" s="442"/>
      <c r="P38" s="442"/>
      <c r="Q38" s="442"/>
      <c r="R38" s="442"/>
      <c r="S38" s="443"/>
      <c r="T38" s="441"/>
      <c r="U38" s="442"/>
      <c r="V38" s="442"/>
      <c r="W38" s="442"/>
      <c r="X38" s="443"/>
      <c r="Y38" s="441"/>
      <c r="Z38" s="442"/>
      <c r="AA38" s="442"/>
      <c r="AB38" s="442"/>
      <c r="AC38" s="443"/>
      <c r="AD38" s="150" t="s">
        <v>256</v>
      </c>
      <c r="AE38" s="126" t="s">
        <v>6</v>
      </c>
      <c r="AF38" s="450"/>
      <c r="AG38" s="450"/>
      <c r="AH38" s="451"/>
      <c r="AI38" s="298"/>
      <c r="AJ38" s="300"/>
      <c r="AK38" s="298"/>
      <c r="AL38" s="300"/>
    </row>
    <row r="39" spans="1:38" x14ac:dyDescent="0.35">
      <c r="A39" s="427"/>
      <c r="B39" s="355"/>
      <c r="C39" s="355"/>
      <c r="D39" s="428"/>
      <c r="E39" s="435"/>
      <c r="F39" s="436"/>
      <c r="G39" s="436"/>
      <c r="H39" s="436"/>
      <c r="I39" s="436"/>
      <c r="J39" s="436"/>
      <c r="K39" s="436"/>
      <c r="L39" s="437"/>
      <c r="M39" s="444"/>
      <c r="N39" s="445"/>
      <c r="O39" s="445"/>
      <c r="P39" s="445"/>
      <c r="Q39" s="445"/>
      <c r="R39" s="445"/>
      <c r="S39" s="446"/>
      <c r="T39" s="444"/>
      <c r="U39" s="445"/>
      <c r="V39" s="445"/>
      <c r="W39" s="445"/>
      <c r="X39" s="446"/>
      <c r="Y39" s="444"/>
      <c r="Z39" s="445"/>
      <c r="AA39" s="445"/>
      <c r="AB39" s="445"/>
      <c r="AC39" s="446"/>
      <c r="AD39" s="151" t="s">
        <v>257</v>
      </c>
      <c r="AE39" s="32" t="s">
        <v>6</v>
      </c>
      <c r="AF39" s="452"/>
      <c r="AG39" s="452"/>
      <c r="AH39" s="453"/>
      <c r="AI39" s="343"/>
      <c r="AJ39" s="344"/>
      <c r="AK39" s="343"/>
      <c r="AL39" s="344"/>
    </row>
    <row r="40" spans="1:38" x14ac:dyDescent="0.35">
      <c r="A40" s="429"/>
      <c r="B40" s="430"/>
      <c r="C40" s="430"/>
      <c r="D40" s="431"/>
      <c r="E40" s="438"/>
      <c r="F40" s="439"/>
      <c r="G40" s="439"/>
      <c r="H40" s="439"/>
      <c r="I40" s="439"/>
      <c r="J40" s="439"/>
      <c r="K40" s="439"/>
      <c r="L40" s="440"/>
      <c r="M40" s="447"/>
      <c r="N40" s="448"/>
      <c r="O40" s="448"/>
      <c r="P40" s="448"/>
      <c r="Q40" s="448"/>
      <c r="R40" s="448"/>
      <c r="S40" s="449"/>
      <c r="T40" s="447"/>
      <c r="U40" s="448"/>
      <c r="V40" s="448"/>
      <c r="W40" s="448"/>
      <c r="X40" s="449"/>
      <c r="Y40" s="447"/>
      <c r="Z40" s="448"/>
      <c r="AA40" s="448"/>
      <c r="AB40" s="448"/>
      <c r="AC40" s="449"/>
      <c r="AD40" s="152" t="s">
        <v>258</v>
      </c>
      <c r="AE40" s="140" t="s">
        <v>6</v>
      </c>
      <c r="AF40" s="454"/>
      <c r="AG40" s="454"/>
      <c r="AH40" s="455"/>
      <c r="AI40" s="345"/>
      <c r="AJ40" s="347"/>
      <c r="AK40" s="345"/>
      <c r="AL40" s="347"/>
    </row>
    <row r="41" spans="1:38" x14ac:dyDescent="0.35">
      <c r="A41" s="424">
        <f>A12</f>
        <v>0</v>
      </c>
      <c r="B41" s="425"/>
      <c r="C41" s="425"/>
      <c r="D41" s="426"/>
      <c r="E41" s="432" t="str">
        <f>P12</f>
        <v>G</v>
      </c>
      <c r="F41" s="433"/>
      <c r="G41" s="433"/>
      <c r="H41" s="433"/>
      <c r="I41" s="433"/>
      <c r="J41" s="433"/>
      <c r="K41" s="433"/>
      <c r="L41" s="434"/>
      <c r="M41" s="441"/>
      <c r="N41" s="442"/>
      <c r="O41" s="442"/>
      <c r="P41" s="442"/>
      <c r="Q41" s="442"/>
      <c r="R41" s="442"/>
      <c r="S41" s="443"/>
      <c r="T41" s="441"/>
      <c r="U41" s="442"/>
      <c r="V41" s="442"/>
      <c r="W41" s="442"/>
      <c r="X41" s="443"/>
      <c r="Y41" s="441"/>
      <c r="Z41" s="442"/>
      <c r="AA41" s="442"/>
      <c r="AB41" s="442"/>
      <c r="AC41" s="443"/>
      <c r="AD41" s="150" t="s">
        <v>256</v>
      </c>
      <c r="AE41" s="126" t="s">
        <v>6</v>
      </c>
      <c r="AF41" s="450"/>
      <c r="AG41" s="450"/>
      <c r="AH41" s="451"/>
      <c r="AI41" s="298"/>
      <c r="AJ41" s="300"/>
      <c r="AK41" s="298"/>
      <c r="AL41" s="300"/>
    </row>
    <row r="42" spans="1:38" x14ac:dyDescent="0.35">
      <c r="A42" s="427"/>
      <c r="B42" s="355"/>
      <c r="C42" s="355"/>
      <c r="D42" s="428"/>
      <c r="E42" s="435"/>
      <c r="F42" s="436"/>
      <c r="G42" s="436"/>
      <c r="H42" s="436"/>
      <c r="I42" s="436"/>
      <c r="J42" s="436"/>
      <c r="K42" s="436"/>
      <c r="L42" s="437"/>
      <c r="M42" s="444"/>
      <c r="N42" s="445"/>
      <c r="O42" s="445"/>
      <c r="P42" s="445"/>
      <c r="Q42" s="445"/>
      <c r="R42" s="445"/>
      <c r="S42" s="446"/>
      <c r="T42" s="444"/>
      <c r="U42" s="445"/>
      <c r="V42" s="445"/>
      <c r="W42" s="445"/>
      <c r="X42" s="446"/>
      <c r="Y42" s="444"/>
      <c r="Z42" s="445"/>
      <c r="AA42" s="445"/>
      <c r="AB42" s="445"/>
      <c r="AC42" s="446"/>
      <c r="AD42" s="151" t="s">
        <v>257</v>
      </c>
      <c r="AE42" s="32" t="s">
        <v>6</v>
      </c>
      <c r="AF42" s="452"/>
      <c r="AG42" s="452"/>
      <c r="AH42" s="453"/>
      <c r="AI42" s="343"/>
      <c r="AJ42" s="344"/>
      <c r="AK42" s="343"/>
      <c r="AL42" s="344"/>
    </row>
    <row r="43" spans="1:38" x14ac:dyDescent="0.35">
      <c r="A43" s="429"/>
      <c r="B43" s="430"/>
      <c r="C43" s="430"/>
      <c r="D43" s="431"/>
      <c r="E43" s="438"/>
      <c r="F43" s="439"/>
      <c r="G43" s="439"/>
      <c r="H43" s="439"/>
      <c r="I43" s="439"/>
      <c r="J43" s="439"/>
      <c r="K43" s="439"/>
      <c r="L43" s="440"/>
      <c r="M43" s="447"/>
      <c r="N43" s="448"/>
      <c r="O43" s="448"/>
      <c r="P43" s="448"/>
      <c r="Q43" s="448"/>
      <c r="R43" s="448"/>
      <c r="S43" s="449"/>
      <c r="T43" s="447"/>
      <c r="U43" s="448"/>
      <c r="V43" s="448"/>
      <c r="W43" s="448"/>
      <c r="X43" s="449"/>
      <c r="Y43" s="447"/>
      <c r="Z43" s="448"/>
      <c r="AA43" s="448"/>
      <c r="AB43" s="448"/>
      <c r="AC43" s="449"/>
      <c r="AD43" s="152" t="s">
        <v>258</v>
      </c>
      <c r="AE43" s="140" t="s">
        <v>6</v>
      </c>
      <c r="AF43" s="454"/>
      <c r="AG43" s="454"/>
      <c r="AH43" s="455"/>
      <c r="AI43" s="345"/>
      <c r="AJ43" s="347"/>
      <c r="AK43" s="345"/>
      <c r="AL43" s="347"/>
    </row>
    <row r="44" spans="1:38" ht="15" customHeight="1" x14ac:dyDescent="0.35">
      <c r="A44" s="424">
        <f>A13</f>
        <v>0</v>
      </c>
      <c r="B44" s="425"/>
      <c r="C44" s="425"/>
      <c r="D44" s="426"/>
      <c r="E44" s="432" t="str">
        <f>P13</f>
        <v>H</v>
      </c>
      <c r="F44" s="433"/>
      <c r="G44" s="433"/>
      <c r="H44" s="433"/>
      <c r="I44" s="433"/>
      <c r="J44" s="433"/>
      <c r="K44" s="433"/>
      <c r="L44" s="434"/>
      <c r="M44" s="441"/>
      <c r="N44" s="442"/>
      <c r="O44" s="442"/>
      <c r="P44" s="442"/>
      <c r="Q44" s="442"/>
      <c r="R44" s="442"/>
      <c r="S44" s="443"/>
      <c r="T44" s="441"/>
      <c r="U44" s="442"/>
      <c r="V44" s="442"/>
      <c r="W44" s="442"/>
      <c r="X44" s="443"/>
      <c r="Y44" s="441"/>
      <c r="Z44" s="442"/>
      <c r="AA44" s="442"/>
      <c r="AB44" s="442"/>
      <c r="AC44" s="443"/>
      <c r="AD44" s="150" t="s">
        <v>256</v>
      </c>
      <c r="AE44" s="126" t="s">
        <v>6</v>
      </c>
      <c r="AF44" s="450"/>
      <c r="AG44" s="450"/>
      <c r="AH44" s="451"/>
      <c r="AI44" s="298"/>
      <c r="AJ44" s="300"/>
      <c r="AK44" s="298"/>
      <c r="AL44" s="300"/>
    </row>
    <row r="45" spans="1:38" x14ac:dyDescent="0.35">
      <c r="A45" s="427"/>
      <c r="B45" s="355"/>
      <c r="C45" s="355"/>
      <c r="D45" s="428"/>
      <c r="E45" s="435"/>
      <c r="F45" s="436"/>
      <c r="G45" s="436"/>
      <c r="H45" s="436"/>
      <c r="I45" s="436"/>
      <c r="J45" s="436"/>
      <c r="K45" s="436"/>
      <c r="L45" s="437"/>
      <c r="M45" s="444"/>
      <c r="N45" s="445"/>
      <c r="O45" s="445"/>
      <c r="P45" s="445"/>
      <c r="Q45" s="445"/>
      <c r="R45" s="445"/>
      <c r="S45" s="446"/>
      <c r="T45" s="444"/>
      <c r="U45" s="445"/>
      <c r="V45" s="445"/>
      <c r="W45" s="445"/>
      <c r="X45" s="446"/>
      <c r="Y45" s="444"/>
      <c r="Z45" s="445"/>
      <c r="AA45" s="445"/>
      <c r="AB45" s="445"/>
      <c r="AC45" s="446"/>
      <c r="AD45" s="151" t="s">
        <v>257</v>
      </c>
      <c r="AE45" s="32" t="s">
        <v>6</v>
      </c>
      <c r="AF45" s="452"/>
      <c r="AG45" s="452"/>
      <c r="AH45" s="453"/>
      <c r="AI45" s="343"/>
      <c r="AJ45" s="344"/>
      <c r="AK45" s="343"/>
      <c r="AL45" s="344"/>
    </row>
    <row r="46" spans="1:38" x14ac:dyDescent="0.35">
      <c r="A46" s="429"/>
      <c r="B46" s="430"/>
      <c r="C46" s="430"/>
      <c r="D46" s="431"/>
      <c r="E46" s="438"/>
      <c r="F46" s="439"/>
      <c r="G46" s="439"/>
      <c r="H46" s="439"/>
      <c r="I46" s="439"/>
      <c r="J46" s="439"/>
      <c r="K46" s="439"/>
      <c r="L46" s="440"/>
      <c r="M46" s="447"/>
      <c r="N46" s="448"/>
      <c r="O46" s="448"/>
      <c r="P46" s="448"/>
      <c r="Q46" s="448"/>
      <c r="R46" s="448"/>
      <c r="S46" s="449"/>
      <c r="T46" s="447"/>
      <c r="U46" s="448"/>
      <c r="V46" s="448"/>
      <c r="W46" s="448"/>
      <c r="X46" s="449"/>
      <c r="Y46" s="447"/>
      <c r="Z46" s="448"/>
      <c r="AA46" s="448"/>
      <c r="AB46" s="448"/>
      <c r="AC46" s="449"/>
      <c r="AD46" s="152" t="s">
        <v>258</v>
      </c>
      <c r="AE46" s="140" t="s">
        <v>6</v>
      </c>
      <c r="AF46" s="454"/>
      <c r="AG46" s="454"/>
      <c r="AH46" s="455"/>
      <c r="AI46" s="345"/>
      <c r="AJ46" s="347"/>
      <c r="AK46" s="345"/>
      <c r="AL46" s="347"/>
    </row>
    <row r="47" spans="1:38" ht="15" customHeight="1" x14ac:dyDescent="0.35">
      <c r="A47" s="424">
        <f>A14</f>
        <v>0</v>
      </c>
      <c r="B47" s="425"/>
      <c r="C47" s="425"/>
      <c r="D47" s="426"/>
      <c r="E47" s="432" t="str">
        <f>P14</f>
        <v>&lt;Diisi dengan akar masalah di langkah 4&gt;</v>
      </c>
      <c r="F47" s="433"/>
      <c r="G47" s="433"/>
      <c r="H47" s="433"/>
      <c r="I47" s="433"/>
      <c r="J47" s="433"/>
      <c r="K47" s="433"/>
      <c r="L47" s="434"/>
      <c r="M47" s="441"/>
      <c r="N47" s="442"/>
      <c r="O47" s="442"/>
      <c r="P47" s="442"/>
      <c r="Q47" s="442"/>
      <c r="R47" s="442"/>
      <c r="S47" s="443"/>
      <c r="T47" s="441"/>
      <c r="U47" s="442"/>
      <c r="V47" s="442"/>
      <c r="W47" s="442"/>
      <c r="X47" s="443"/>
      <c r="Y47" s="441"/>
      <c r="Z47" s="442"/>
      <c r="AA47" s="442"/>
      <c r="AB47" s="442"/>
      <c r="AC47" s="443"/>
      <c r="AD47" s="150" t="s">
        <v>256</v>
      </c>
      <c r="AE47" s="126" t="s">
        <v>6</v>
      </c>
      <c r="AF47" s="450"/>
      <c r="AG47" s="450"/>
      <c r="AH47" s="451"/>
      <c r="AI47" s="298"/>
      <c r="AJ47" s="300"/>
      <c r="AK47" s="298"/>
      <c r="AL47" s="300"/>
    </row>
    <row r="48" spans="1:38" x14ac:dyDescent="0.35">
      <c r="A48" s="427"/>
      <c r="B48" s="355"/>
      <c r="C48" s="355"/>
      <c r="D48" s="428"/>
      <c r="E48" s="435"/>
      <c r="F48" s="436"/>
      <c r="G48" s="436"/>
      <c r="H48" s="436"/>
      <c r="I48" s="436"/>
      <c r="J48" s="436"/>
      <c r="K48" s="436"/>
      <c r="L48" s="437"/>
      <c r="M48" s="444"/>
      <c r="N48" s="445"/>
      <c r="O48" s="445"/>
      <c r="P48" s="445"/>
      <c r="Q48" s="445"/>
      <c r="R48" s="445"/>
      <c r="S48" s="446"/>
      <c r="T48" s="444"/>
      <c r="U48" s="445"/>
      <c r="V48" s="445"/>
      <c r="W48" s="445"/>
      <c r="X48" s="446"/>
      <c r="Y48" s="444"/>
      <c r="Z48" s="445"/>
      <c r="AA48" s="445"/>
      <c r="AB48" s="445"/>
      <c r="AC48" s="446"/>
      <c r="AD48" s="151" t="s">
        <v>257</v>
      </c>
      <c r="AE48" s="32" t="s">
        <v>6</v>
      </c>
      <c r="AF48" s="452"/>
      <c r="AG48" s="452"/>
      <c r="AH48" s="453"/>
      <c r="AI48" s="343"/>
      <c r="AJ48" s="344"/>
      <c r="AK48" s="343"/>
      <c r="AL48" s="344"/>
    </row>
    <row r="49" spans="1:38" x14ac:dyDescent="0.35">
      <c r="A49" s="429"/>
      <c r="B49" s="430"/>
      <c r="C49" s="430"/>
      <c r="D49" s="431"/>
      <c r="E49" s="438"/>
      <c r="F49" s="439"/>
      <c r="G49" s="439"/>
      <c r="H49" s="439"/>
      <c r="I49" s="439"/>
      <c r="J49" s="439"/>
      <c r="K49" s="439"/>
      <c r="L49" s="440"/>
      <c r="M49" s="447"/>
      <c r="N49" s="448"/>
      <c r="O49" s="448"/>
      <c r="P49" s="448"/>
      <c r="Q49" s="448"/>
      <c r="R49" s="448"/>
      <c r="S49" s="449"/>
      <c r="T49" s="447"/>
      <c r="U49" s="448"/>
      <c r="V49" s="448"/>
      <c r="W49" s="448"/>
      <c r="X49" s="449"/>
      <c r="Y49" s="447"/>
      <c r="Z49" s="448"/>
      <c r="AA49" s="448"/>
      <c r="AB49" s="448"/>
      <c r="AC49" s="449"/>
      <c r="AD49" s="152" t="s">
        <v>258</v>
      </c>
      <c r="AE49" s="140" t="s">
        <v>6</v>
      </c>
      <c r="AF49" s="454"/>
      <c r="AG49" s="454"/>
      <c r="AH49" s="455"/>
      <c r="AI49" s="345"/>
      <c r="AJ49" s="347"/>
      <c r="AK49" s="345"/>
      <c r="AL49" s="347"/>
    </row>
    <row r="50" spans="1:38" x14ac:dyDescent="0.35">
      <c r="A50" s="32" t="s">
        <v>259</v>
      </c>
    </row>
  </sheetData>
  <sheetProtection formatCells="0" formatColumns="0" formatRows="0"/>
  <mergeCells count="143">
    <mergeCell ref="A8:D8"/>
    <mergeCell ref="A9:D9"/>
    <mergeCell ref="A10:D10"/>
    <mergeCell ref="A11:D11"/>
    <mergeCell ref="A4:D4"/>
    <mergeCell ref="A5:D5"/>
    <mergeCell ref="A6:D6"/>
    <mergeCell ref="A7:D7"/>
    <mergeCell ref="AF20:AH20"/>
    <mergeCell ref="AD18:AH18"/>
    <mergeCell ref="AD19:AH19"/>
    <mergeCell ref="P7:Y7"/>
    <mergeCell ref="P8:Y8"/>
    <mergeCell ref="P9:Y9"/>
    <mergeCell ref="P11:Y11"/>
    <mergeCell ref="P10:Y10"/>
    <mergeCell ref="A18:D19"/>
    <mergeCell ref="A20:D22"/>
    <mergeCell ref="AF21:AH21"/>
    <mergeCell ref="AF22:AH22"/>
    <mergeCell ref="A12:D12"/>
    <mergeCell ref="F12:O12"/>
    <mergeCell ref="P12:Y12"/>
    <mergeCell ref="A13:D13"/>
    <mergeCell ref="AK20:AL22"/>
    <mergeCell ref="F4:O4"/>
    <mergeCell ref="F5:O5"/>
    <mergeCell ref="F6:O6"/>
    <mergeCell ref="F7:O7"/>
    <mergeCell ref="F8:O8"/>
    <mergeCell ref="F9:O9"/>
    <mergeCell ref="F10:O10"/>
    <mergeCell ref="F11:O11"/>
    <mergeCell ref="P5:Y5"/>
    <mergeCell ref="AI18:AJ19"/>
    <mergeCell ref="AK18:AL19"/>
    <mergeCell ref="T18:X19"/>
    <mergeCell ref="Y18:AC19"/>
    <mergeCell ref="E20:L22"/>
    <mergeCell ref="P4:Y4"/>
    <mergeCell ref="P6:Y6"/>
    <mergeCell ref="M20:S22"/>
    <mergeCell ref="T20:X22"/>
    <mergeCell ref="Y20:AC22"/>
    <mergeCell ref="AI20:AJ22"/>
    <mergeCell ref="E19:L19"/>
    <mergeCell ref="M19:S19"/>
    <mergeCell ref="E18:S18"/>
    <mergeCell ref="AF23:AH23"/>
    <mergeCell ref="AI23:AJ25"/>
    <mergeCell ref="AK23:AL25"/>
    <mergeCell ref="A26:D28"/>
    <mergeCell ref="E26:L28"/>
    <mergeCell ref="M26:S28"/>
    <mergeCell ref="T26:X28"/>
    <mergeCell ref="Y26:AC28"/>
    <mergeCell ref="AF26:AH26"/>
    <mergeCell ref="AI26:AJ28"/>
    <mergeCell ref="AK26:AL28"/>
    <mergeCell ref="AF24:AH24"/>
    <mergeCell ref="AF25:AH25"/>
    <mergeCell ref="AF27:AH27"/>
    <mergeCell ref="AF28:AH28"/>
    <mergeCell ref="A23:D25"/>
    <mergeCell ref="E23:L25"/>
    <mergeCell ref="M23:S25"/>
    <mergeCell ref="T23:X25"/>
    <mergeCell ref="Y23:AC25"/>
    <mergeCell ref="AF29:AH29"/>
    <mergeCell ref="AI29:AJ31"/>
    <mergeCell ref="AK29:AL31"/>
    <mergeCell ref="AI32:AJ34"/>
    <mergeCell ref="AK32:AL34"/>
    <mergeCell ref="AF30:AH30"/>
    <mergeCell ref="AF31:AH31"/>
    <mergeCell ref="AF33:AH33"/>
    <mergeCell ref="AF34:AH34"/>
    <mergeCell ref="AF35:AH35"/>
    <mergeCell ref="AI35:AJ37"/>
    <mergeCell ref="AK35:AL37"/>
    <mergeCell ref="A32:D34"/>
    <mergeCell ref="E32:L34"/>
    <mergeCell ref="M32:S34"/>
    <mergeCell ref="T32:X34"/>
    <mergeCell ref="Y32:AC34"/>
    <mergeCell ref="AF32:AH32"/>
    <mergeCell ref="A35:D37"/>
    <mergeCell ref="E35:L37"/>
    <mergeCell ref="M35:S37"/>
    <mergeCell ref="T35:X37"/>
    <mergeCell ref="Y35:AC37"/>
    <mergeCell ref="AF36:AH36"/>
    <mergeCell ref="AF37:AH37"/>
    <mergeCell ref="AI38:AJ40"/>
    <mergeCell ref="AK38:AL40"/>
    <mergeCell ref="A38:D40"/>
    <mergeCell ref="E38:L40"/>
    <mergeCell ref="M38:S40"/>
    <mergeCell ref="T38:X40"/>
    <mergeCell ref="Y38:AC40"/>
    <mergeCell ref="AF38:AH38"/>
    <mergeCell ref="AF39:AH39"/>
    <mergeCell ref="AF40:AH40"/>
    <mergeCell ref="F13:O13"/>
    <mergeCell ref="P13:Y13"/>
    <mergeCell ref="A14:D14"/>
    <mergeCell ref="F14:O14"/>
    <mergeCell ref="P14:Y14"/>
    <mergeCell ref="A41:D43"/>
    <mergeCell ref="E41:L43"/>
    <mergeCell ref="M41:S43"/>
    <mergeCell ref="T41:X43"/>
    <mergeCell ref="Y41:AC43"/>
    <mergeCell ref="A29:D31"/>
    <mergeCell ref="E29:L31"/>
    <mergeCell ref="M29:S31"/>
    <mergeCell ref="T29:X31"/>
    <mergeCell ref="Y29:AC31"/>
    <mergeCell ref="AF41:AH41"/>
    <mergeCell ref="AI41:AJ43"/>
    <mergeCell ref="AK41:AL43"/>
    <mergeCell ref="AF42:AH42"/>
    <mergeCell ref="AF43:AH43"/>
    <mergeCell ref="A44:D46"/>
    <mergeCell ref="E44:L46"/>
    <mergeCell ref="M44:S46"/>
    <mergeCell ref="T44:X46"/>
    <mergeCell ref="Y44:AC46"/>
    <mergeCell ref="AF44:AH44"/>
    <mergeCell ref="AI44:AJ46"/>
    <mergeCell ref="AK44:AL46"/>
    <mergeCell ref="AF45:AH45"/>
    <mergeCell ref="AF46:AH46"/>
    <mergeCell ref="A47:D49"/>
    <mergeCell ref="E47:L49"/>
    <mergeCell ref="M47:S49"/>
    <mergeCell ref="T47:X49"/>
    <mergeCell ref="Y47:AC49"/>
    <mergeCell ref="AF47:AH47"/>
    <mergeCell ref="AI47:AJ49"/>
    <mergeCell ref="AK47:AL49"/>
    <mergeCell ref="AF48:AH48"/>
    <mergeCell ref="AF49:AH49"/>
  </mergeCells>
  <printOptions horizontalCentered="1" verticalCentered="1"/>
  <pageMargins left="0.25" right="0.25" top="0.25" bottom="0.25" header="0.3" footer="0.2"/>
  <pageSetup paperSize="9" scale="73" orientation="landscape" r:id="rId1"/>
  <headerFooter>
    <oddFooter>&amp;R&amp;"Palatino Linotype,Italic"&amp;10Lampiran Kertas Kerja QCC-QCP Rev.2(191213)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K36"/>
  <sheetViews>
    <sheetView showGridLines="0" view="pageBreakPreview" topLeftCell="B1" zoomScaleNormal="110" zoomScaleSheetLayoutView="100" workbookViewId="0">
      <selection activeCell="O13" sqref="O13:T15"/>
    </sheetView>
  </sheetViews>
  <sheetFormatPr defaultColWidth="9.1796875" defaultRowHeight="14.5" x14ac:dyDescent="0.35"/>
  <cols>
    <col min="1" max="1" width="4.1796875" style="32" customWidth="1"/>
    <col min="2" max="2" width="2.7265625" style="32" customWidth="1"/>
    <col min="3" max="3" width="3.7265625" style="32" customWidth="1"/>
    <col min="4" max="4" width="3.1796875" style="32" customWidth="1"/>
    <col min="5" max="6" width="4.7265625" style="32" customWidth="1"/>
    <col min="7" max="7" width="3" style="32" customWidth="1"/>
    <col min="8" max="8" width="3.453125" style="32" customWidth="1"/>
    <col min="9" max="11" width="4.7265625" style="32" customWidth="1"/>
    <col min="12" max="12" width="4.1796875" style="32" customWidth="1"/>
    <col min="13" max="16" width="4.7265625" style="32" customWidth="1"/>
    <col min="17" max="17" width="7.1796875" style="32" customWidth="1"/>
    <col min="18" max="18" width="12.453125" style="32" customWidth="1"/>
    <col min="19" max="19" width="4.7265625" style="32" customWidth="1"/>
    <col min="20" max="20" width="5.7265625" style="32" customWidth="1"/>
    <col min="21" max="28" width="4.7265625" style="32" customWidth="1"/>
    <col min="29" max="29" width="6.1796875" style="32" customWidth="1"/>
    <col min="30" max="30" width="1.1796875" style="32" customWidth="1"/>
    <col min="31" max="31" width="3.453125" style="32" customWidth="1"/>
    <col min="32" max="33" width="4.1796875" style="32" customWidth="1"/>
    <col min="34" max="34" width="4.453125" style="32" customWidth="1"/>
    <col min="35" max="35" width="4.1796875" style="32" customWidth="1"/>
    <col min="36" max="36" width="5.7265625" style="32" customWidth="1"/>
    <col min="37" max="37" width="3.1796875" style="32" customWidth="1"/>
    <col min="38" max="38" width="4.1796875" style="32" customWidth="1"/>
    <col min="39" max="42" width="5.453125" style="32" customWidth="1"/>
    <col min="43" max="16384" width="9.1796875" style="32"/>
  </cols>
  <sheetData>
    <row r="1" spans="1:37" ht="18.5" x14ac:dyDescent="0.45">
      <c r="A1" s="33" t="s">
        <v>260</v>
      </c>
    </row>
    <row r="2" spans="1:37" ht="10.5" customHeight="1" x14ac:dyDescent="0.35"/>
    <row r="3" spans="1:37" x14ac:dyDescent="0.35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</row>
    <row r="5" spans="1:37" x14ac:dyDescent="0.35">
      <c r="A5" s="298" t="s">
        <v>146</v>
      </c>
      <c r="B5" s="299"/>
      <c r="C5" s="299"/>
      <c r="D5" s="299"/>
      <c r="E5" s="299"/>
      <c r="F5" s="299"/>
      <c r="G5" s="299"/>
      <c r="H5" s="300"/>
      <c r="I5" s="298" t="s">
        <v>254</v>
      </c>
      <c r="J5" s="299"/>
      <c r="K5" s="299"/>
      <c r="L5" s="299"/>
      <c r="M5" s="299"/>
      <c r="N5" s="300"/>
      <c r="O5" s="298" t="s">
        <v>261</v>
      </c>
      <c r="P5" s="299"/>
      <c r="Q5" s="299"/>
      <c r="R5" s="299"/>
      <c r="S5" s="299"/>
      <c r="T5" s="300"/>
      <c r="U5" s="441" t="s">
        <v>262</v>
      </c>
      <c r="V5" s="299"/>
      <c r="W5" s="299"/>
      <c r="X5" s="300"/>
      <c r="Y5" s="441" t="s">
        <v>263</v>
      </c>
      <c r="Z5" s="299"/>
      <c r="AA5" s="299"/>
      <c r="AB5" s="300"/>
      <c r="AC5" s="505" t="s">
        <v>251</v>
      </c>
      <c r="AD5" s="450"/>
      <c r="AE5" s="450"/>
      <c r="AF5" s="450"/>
      <c r="AG5" s="451"/>
      <c r="AH5" s="498" t="s">
        <v>252</v>
      </c>
      <c r="AI5" s="499"/>
      <c r="AJ5" s="441" t="s">
        <v>264</v>
      </c>
      <c r="AK5" s="443"/>
    </row>
    <row r="6" spans="1:37" x14ac:dyDescent="0.35">
      <c r="A6" s="345"/>
      <c r="B6" s="346"/>
      <c r="C6" s="346"/>
      <c r="D6" s="346"/>
      <c r="E6" s="346"/>
      <c r="F6" s="346"/>
      <c r="G6" s="346"/>
      <c r="H6" s="347"/>
      <c r="I6" s="345"/>
      <c r="J6" s="346"/>
      <c r="K6" s="346"/>
      <c r="L6" s="346"/>
      <c r="M6" s="346"/>
      <c r="N6" s="347"/>
      <c r="O6" s="345"/>
      <c r="P6" s="346"/>
      <c r="Q6" s="346"/>
      <c r="R6" s="346"/>
      <c r="S6" s="346"/>
      <c r="T6" s="347"/>
      <c r="U6" s="345"/>
      <c r="V6" s="346"/>
      <c r="W6" s="346"/>
      <c r="X6" s="347"/>
      <c r="Y6" s="345"/>
      <c r="Z6" s="346"/>
      <c r="AA6" s="346"/>
      <c r="AB6" s="347"/>
      <c r="AC6" s="506" t="s">
        <v>255</v>
      </c>
      <c r="AD6" s="454"/>
      <c r="AE6" s="454"/>
      <c r="AF6" s="454"/>
      <c r="AG6" s="455"/>
      <c r="AH6" s="500"/>
      <c r="AI6" s="501"/>
      <c r="AJ6" s="447"/>
      <c r="AK6" s="449"/>
    </row>
    <row r="7" spans="1:37" x14ac:dyDescent="0.35">
      <c r="A7" s="432" t="str">
        <f>IF('Step 5 '!E20="&lt;Diisi dengan akar masalah di langkah 4&gt;","",'Step 5 '!E20)</f>
        <v>Abc</v>
      </c>
      <c r="B7" s="433"/>
      <c r="C7" s="433"/>
      <c r="D7" s="433"/>
      <c r="E7" s="433"/>
      <c r="F7" s="433"/>
      <c r="G7" s="433"/>
      <c r="H7" s="434"/>
      <c r="I7" s="507" t="str">
        <f>IF('Step 5 '!M20="","",'Step 5 '!M20)</f>
        <v/>
      </c>
      <c r="J7" s="508"/>
      <c r="K7" s="508"/>
      <c r="L7" s="508"/>
      <c r="M7" s="508"/>
      <c r="N7" s="509"/>
      <c r="O7" s="507" t="str">
        <f>IF('Step 5 '!Y20="","",'Step 5 '!Y20)</f>
        <v/>
      </c>
      <c r="P7" s="508"/>
      <c r="Q7" s="508"/>
      <c r="R7" s="508"/>
      <c r="S7" s="508"/>
      <c r="T7" s="509"/>
      <c r="U7" s="153"/>
      <c r="V7" s="153"/>
      <c r="W7" s="153"/>
      <c r="X7" s="154"/>
      <c r="Y7" s="153"/>
      <c r="Z7" s="153"/>
      <c r="AA7" s="153"/>
      <c r="AB7" s="153"/>
      <c r="AC7" s="150" t="s">
        <v>256</v>
      </c>
      <c r="AD7" s="126" t="s">
        <v>6</v>
      </c>
      <c r="AE7" s="470"/>
      <c r="AF7" s="470"/>
      <c r="AG7" s="471"/>
      <c r="AH7" s="298"/>
      <c r="AI7" s="300"/>
      <c r="AJ7" s="298"/>
      <c r="AK7" s="300"/>
    </row>
    <row r="8" spans="1:37" x14ac:dyDescent="0.35">
      <c r="A8" s="435"/>
      <c r="B8" s="436"/>
      <c r="C8" s="436"/>
      <c r="D8" s="436"/>
      <c r="E8" s="436"/>
      <c r="F8" s="436"/>
      <c r="G8" s="436"/>
      <c r="H8" s="437"/>
      <c r="I8" s="510"/>
      <c r="J8" s="511"/>
      <c r="K8" s="511"/>
      <c r="L8" s="511"/>
      <c r="M8" s="511"/>
      <c r="N8" s="512"/>
      <c r="O8" s="510"/>
      <c r="P8" s="511"/>
      <c r="Q8" s="511"/>
      <c r="R8" s="511"/>
      <c r="S8" s="511"/>
      <c r="T8" s="512"/>
      <c r="U8" s="68"/>
      <c r="V8" s="68"/>
      <c r="W8" s="68"/>
      <c r="X8" s="155"/>
      <c r="Y8" s="68"/>
      <c r="Z8" s="68"/>
      <c r="AA8" s="68"/>
      <c r="AB8" s="68"/>
      <c r="AC8" s="151" t="s">
        <v>257</v>
      </c>
      <c r="AD8" s="32" t="s">
        <v>6</v>
      </c>
      <c r="AE8" s="478"/>
      <c r="AF8" s="478"/>
      <c r="AG8" s="479"/>
      <c r="AH8" s="343"/>
      <c r="AI8" s="344"/>
      <c r="AJ8" s="343"/>
      <c r="AK8" s="344"/>
    </row>
    <row r="9" spans="1:37" x14ac:dyDescent="0.35">
      <c r="A9" s="438"/>
      <c r="B9" s="439"/>
      <c r="C9" s="439"/>
      <c r="D9" s="439"/>
      <c r="E9" s="439"/>
      <c r="F9" s="439"/>
      <c r="G9" s="439"/>
      <c r="H9" s="440"/>
      <c r="I9" s="513"/>
      <c r="J9" s="514"/>
      <c r="K9" s="514"/>
      <c r="L9" s="514"/>
      <c r="M9" s="514"/>
      <c r="N9" s="515"/>
      <c r="O9" s="513"/>
      <c r="P9" s="514"/>
      <c r="Q9" s="514"/>
      <c r="R9" s="514"/>
      <c r="S9" s="514"/>
      <c r="T9" s="515"/>
      <c r="U9" s="156"/>
      <c r="V9" s="156"/>
      <c r="W9" s="156"/>
      <c r="X9" s="157"/>
      <c r="Y9" s="156"/>
      <c r="Z9" s="156"/>
      <c r="AA9" s="156"/>
      <c r="AB9" s="156"/>
      <c r="AC9" s="152" t="s">
        <v>258</v>
      </c>
      <c r="AD9" s="140" t="s">
        <v>6</v>
      </c>
      <c r="AE9" s="478"/>
      <c r="AF9" s="478"/>
      <c r="AG9" s="479"/>
      <c r="AH9" s="345"/>
      <c r="AI9" s="347"/>
      <c r="AJ9" s="345"/>
      <c r="AK9" s="347"/>
    </row>
    <row r="10" spans="1:37" ht="22.5" customHeight="1" x14ac:dyDescent="0.35">
      <c r="A10" s="432" t="str">
        <f>IF('Step 5 '!E23="&lt;Diisi dengan akar masalah di langkah 4&gt;","",'Step 5 '!E23)</f>
        <v>A</v>
      </c>
      <c r="B10" s="433"/>
      <c r="C10" s="433"/>
      <c r="D10" s="433"/>
      <c r="E10" s="433"/>
      <c r="F10" s="433"/>
      <c r="G10" s="433"/>
      <c r="H10" s="434"/>
      <c r="I10" s="507" t="str">
        <f>IF('Step 5 '!M23="","",'Step 5 '!M23)</f>
        <v/>
      </c>
      <c r="J10" s="508"/>
      <c r="K10" s="508"/>
      <c r="L10" s="508"/>
      <c r="M10" s="508"/>
      <c r="N10" s="509"/>
      <c r="O10" s="507" t="str">
        <f>IF('Step 5 '!Y23="","",'Step 5 '!Y23)</f>
        <v/>
      </c>
      <c r="P10" s="508"/>
      <c r="Q10" s="508"/>
      <c r="R10" s="508"/>
      <c r="S10" s="508"/>
      <c r="T10" s="509"/>
      <c r="U10" s="153"/>
      <c r="V10" s="153"/>
      <c r="W10" s="153"/>
      <c r="X10" s="154"/>
      <c r="Y10" s="153"/>
      <c r="Z10" s="153"/>
      <c r="AA10" s="153"/>
      <c r="AB10" s="153"/>
      <c r="AC10" s="150" t="s">
        <v>256</v>
      </c>
      <c r="AD10" s="126" t="s">
        <v>6</v>
      </c>
      <c r="AE10" s="525"/>
      <c r="AF10" s="525"/>
      <c r="AG10" s="526"/>
      <c r="AH10" s="298"/>
      <c r="AI10" s="300"/>
      <c r="AJ10" s="298"/>
      <c r="AK10" s="300"/>
    </row>
    <row r="11" spans="1:37" ht="21" customHeight="1" x14ac:dyDescent="0.35">
      <c r="A11" s="435"/>
      <c r="B11" s="436"/>
      <c r="C11" s="436"/>
      <c r="D11" s="436"/>
      <c r="E11" s="436"/>
      <c r="F11" s="436"/>
      <c r="G11" s="436"/>
      <c r="H11" s="437"/>
      <c r="I11" s="510"/>
      <c r="J11" s="511"/>
      <c r="K11" s="511"/>
      <c r="L11" s="511"/>
      <c r="M11" s="511"/>
      <c r="N11" s="512"/>
      <c r="O11" s="510"/>
      <c r="P11" s="511"/>
      <c r="Q11" s="511"/>
      <c r="R11" s="511"/>
      <c r="S11" s="511"/>
      <c r="T11" s="512"/>
      <c r="U11" s="68"/>
      <c r="V11" s="68"/>
      <c r="W11" s="68"/>
      <c r="X11" s="155"/>
      <c r="Y11" s="68"/>
      <c r="Z11" s="68"/>
      <c r="AA11" s="68"/>
      <c r="AB11" s="68"/>
      <c r="AC11" s="151" t="s">
        <v>257</v>
      </c>
      <c r="AD11" s="32" t="s">
        <v>6</v>
      </c>
      <c r="AE11" s="527"/>
      <c r="AF11" s="527"/>
      <c r="AG11" s="528"/>
      <c r="AH11" s="343"/>
      <c r="AI11" s="344"/>
      <c r="AJ11" s="343"/>
      <c r="AK11" s="344"/>
    </row>
    <row r="12" spans="1:37" x14ac:dyDescent="0.35">
      <c r="A12" s="438"/>
      <c r="B12" s="439"/>
      <c r="C12" s="439"/>
      <c r="D12" s="439"/>
      <c r="E12" s="439"/>
      <c r="F12" s="439"/>
      <c r="G12" s="439"/>
      <c r="H12" s="440"/>
      <c r="I12" s="513"/>
      <c r="J12" s="514"/>
      <c r="K12" s="514"/>
      <c r="L12" s="514"/>
      <c r="M12" s="514"/>
      <c r="N12" s="515"/>
      <c r="O12" s="513"/>
      <c r="P12" s="514"/>
      <c r="Q12" s="514"/>
      <c r="R12" s="514"/>
      <c r="S12" s="514"/>
      <c r="T12" s="515"/>
      <c r="U12" s="156"/>
      <c r="V12" s="156"/>
      <c r="W12" s="156"/>
      <c r="X12" s="157"/>
      <c r="Y12" s="156"/>
      <c r="Z12" s="156"/>
      <c r="AA12" s="156"/>
      <c r="AB12" s="156"/>
      <c r="AC12" s="152" t="s">
        <v>258</v>
      </c>
      <c r="AD12" s="140" t="s">
        <v>6</v>
      </c>
      <c r="AE12" s="529"/>
      <c r="AF12" s="529"/>
      <c r="AG12" s="530"/>
      <c r="AH12" s="345"/>
      <c r="AI12" s="347"/>
      <c r="AJ12" s="345"/>
      <c r="AK12" s="347"/>
    </row>
    <row r="13" spans="1:37" x14ac:dyDescent="0.35">
      <c r="A13" s="432" t="str">
        <f>IF('Step 5 '!E26="&lt;Diisi dengan akar masalah di langkah 4&gt;","",'Step 5 '!E26)</f>
        <v>B</v>
      </c>
      <c r="B13" s="433"/>
      <c r="C13" s="433"/>
      <c r="D13" s="433"/>
      <c r="E13" s="433"/>
      <c r="F13" s="433"/>
      <c r="G13" s="433"/>
      <c r="H13" s="434"/>
      <c r="I13" s="507" t="str">
        <f>IF('Step 5 '!M26="","",'Step 5 '!M26)</f>
        <v/>
      </c>
      <c r="J13" s="508"/>
      <c r="K13" s="508"/>
      <c r="L13" s="508"/>
      <c r="M13" s="508"/>
      <c r="N13" s="509"/>
      <c r="O13" s="507" t="str">
        <f>IF('Step 5 '!Y26="","",'Step 5 '!Y26)</f>
        <v/>
      </c>
      <c r="P13" s="508"/>
      <c r="Q13" s="508"/>
      <c r="R13" s="508"/>
      <c r="S13" s="508"/>
      <c r="T13" s="509"/>
      <c r="U13" s="153"/>
      <c r="V13" s="153"/>
      <c r="W13" s="153"/>
      <c r="X13" s="154"/>
      <c r="Y13" s="153"/>
      <c r="Z13" s="153"/>
      <c r="AA13" s="153"/>
      <c r="AB13" s="153"/>
      <c r="AC13" s="150" t="s">
        <v>256</v>
      </c>
      <c r="AD13" s="126" t="s">
        <v>6</v>
      </c>
      <c r="AE13" s="525"/>
      <c r="AF13" s="525"/>
      <c r="AG13" s="526"/>
      <c r="AH13" s="531"/>
      <c r="AI13" s="532"/>
      <c r="AJ13" s="298"/>
      <c r="AK13" s="300"/>
    </row>
    <row r="14" spans="1:37" x14ac:dyDescent="0.35">
      <c r="A14" s="435"/>
      <c r="B14" s="436"/>
      <c r="C14" s="436"/>
      <c r="D14" s="436"/>
      <c r="E14" s="436"/>
      <c r="F14" s="436"/>
      <c r="G14" s="436"/>
      <c r="H14" s="437"/>
      <c r="I14" s="510"/>
      <c r="J14" s="511"/>
      <c r="K14" s="511"/>
      <c r="L14" s="511"/>
      <c r="M14" s="511"/>
      <c r="N14" s="512"/>
      <c r="O14" s="510"/>
      <c r="P14" s="511"/>
      <c r="Q14" s="511"/>
      <c r="R14" s="511"/>
      <c r="S14" s="511"/>
      <c r="T14" s="512"/>
      <c r="U14" s="68"/>
      <c r="V14" s="68"/>
      <c r="W14" s="68"/>
      <c r="X14" s="155"/>
      <c r="Y14" s="68"/>
      <c r="Z14" s="68"/>
      <c r="AA14" s="68"/>
      <c r="AB14" s="68"/>
      <c r="AC14" s="151" t="s">
        <v>257</v>
      </c>
      <c r="AD14" s="32" t="s">
        <v>6</v>
      </c>
      <c r="AE14" s="527"/>
      <c r="AF14" s="527"/>
      <c r="AG14" s="528"/>
      <c r="AH14" s="533"/>
      <c r="AI14" s="534"/>
      <c r="AJ14" s="343"/>
      <c r="AK14" s="344"/>
    </row>
    <row r="15" spans="1:37" x14ac:dyDescent="0.35">
      <c r="A15" s="438"/>
      <c r="B15" s="439"/>
      <c r="C15" s="439"/>
      <c r="D15" s="439"/>
      <c r="E15" s="439"/>
      <c r="F15" s="439"/>
      <c r="G15" s="439"/>
      <c r="H15" s="440"/>
      <c r="I15" s="513"/>
      <c r="J15" s="514"/>
      <c r="K15" s="514"/>
      <c r="L15" s="514"/>
      <c r="M15" s="514"/>
      <c r="N15" s="515"/>
      <c r="O15" s="513"/>
      <c r="P15" s="514"/>
      <c r="Q15" s="514"/>
      <c r="R15" s="514"/>
      <c r="S15" s="514"/>
      <c r="T15" s="515"/>
      <c r="U15" s="156"/>
      <c r="V15" s="156"/>
      <c r="W15" s="156"/>
      <c r="X15" s="157"/>
      <c r="Y15" s="156"/>
      <c r="Z15" s="156"/>
      <c r="AA15" s="156"/>
      <c r="AB15" s="156"/>
      <c r="AC15" s="152" t="s">
        <v>258</v>
      </c>
      <c r="AD15" s="140" t="s">
        <v>6</v>
      </c>
      <c r="AE15" s="529"/>
      <c r="AF15" s="529"/>
      <c r="AG15" s="530"/>
      <c r="AH15" s="535"/>
      <c r="AI15" s="536"/>
      <c r="AJ15" s="345"/>
      <c r="AK15" s="347"/>
    </row>
    <row r="16" spans="1:37" x14ac:dyDescent="0.35">
      <c r="A16" s="432" t="str">
        <f>IF('Step 5 '!E29="&lt;Diisi dengan akar masalah di langkah 4&gt;","",'Step 5 '!E29)</f>
        <v>C</v>
      </c>
      <c r="B16" s="433"/>
      <c r="C16" s="433"/>
      <c r="D16" s="433"/>
      <c r="E16" s="433"/>
      <c r="F16" s="433"/>
      <c r="G16" s="433"/>
      <c r="H16" s="434"/>
      <c r="I16" s="507" t="str">
        <f>IF('Step 5 '!M29="","",'Step 5 '!M29)</f>
        <v/>
      </c>
      <c r="J16" s="508"/>
      <c r="K16" s="508"/>
      <c r="L16" s="508"/>
      <c r="M16" s="508"/>
      <c r="N16" s="509"/>
      <c r="O16" s="507" t="str">
        <f>IF('Step 5 '!Y29="","",'Step 5 '!Y29)</f>
        <v/>
      </c>
      <c r="P16" s="508"/>
      <c r="Q16" s="508"/>
      <c r="R16" s="508"/>
      <c r="S16" s="508"/>
      <c r="T16" s="509"/>
      <c r="U16" s="153"/>
      <c r="V16" s="153"/>
      <c r="W16" s="153"/>
      <c r="X16" s="154"/>
      <c r="Y16" s="153"/>
      <c r="Z16" s="153"/>
      <c r="AA16" s="153"/>
      <c r="AB16" s="153"/>
      <c r="AC16" s="150" t="s">
        <v>256</v>
      </c>
      <c r="AD16" s="126" t="s">
        <v>6</v>
      </c>
      <c r="AE16" s="525"/>
      <c r="AF16" s="525"/>
      <c r="AG16" s="526"/>
      <c r="AH16" s="531"/>
      <c r="AI16" s="532"/>
      <c r="AJ16" s="298"/>
      <c r="AK16" s="300"/>
    </row>
    <row r="17" spans="1:37" x14ac:dyDescent="0.35">
      <c r="A17" s="435"/>
      <c r="B17" s="436"/>
      <c r="C17" s="436"/>
      <c r="D17" s="436"/>
      <c r="E17" s="436"/>
      <c r="F17" s="436"/>
      <c r="G17" s="436"/>
      <c r="H17" s="437"/>
      <c r="I17" s="510"/>
      <c r="J17" s="511"/>
      <c r="K17" s="511"/>
      <c r="L17" s="511"/>
      <c r="M17" s="511"/>
      <c r="N17" s="512"/>
      <c r="O17" s="510"/>
      <c r="P17" s="511"/>
      <c r="Q17" s="511"/>
      <c r="R17" s="511"/>
      <c r="S17" s="511"/>
      <c r="T17" s="512"/>
      <c r="U17" s="68"/>
      <c r="V17" s="68"/>
      <c r="W17" s="68"/>
      <c r="X17" s="155"/>
      <c r="Y17" s="68"/>
      <c r="Z17" s="68"/>
      <c r="AA17" s="68"/>
      <c r="AB17" s="68"/>
      <c r="AC17" s="151" t="s">
        <v>257</v>
      </c>
      <c r="AD17" s="32" t="s">
        <v>6</v>
      </c>
      <c r="AE17" s="527"/>
      <c r="AF17" s="527"/>
      <c r="AG17" s="528"/>
      <c r="AH17" s="533"/>
      <c r="AI17" s="534"/>
      <c r="AJ17" s="343"/>
      <c r="AK17" s="344"/>
    </row>
    <row r="18" spans="1:37" x14ac:dyDescent="0.35">
      <c r="A18" s="438"/>
      <c r="B18" s="439"/>
      <c r="C18" s="439"/>
      <c r="D18" s="439"/>
      <c r="E18" s="439"/>
      <c r="F18" s="439"/>
      <c r="G18" s="439"/>
      <c r="H18" s="440"/>
      <c r="I18" s="513"/>
      <c r="J18" s="514"/>
      <c r="K18" s="514"/>
      <c r="L18" s="514"/>
      <c r="M18" s="514"/>
      <c r="N18" s="515"/>
      <c r="O18" s="513"/>
      <c r="P18" s="514"/>
      <c r="Q18" s="514"/>
      <c r="R18" s="514"/>
      <c r="S18" s="514"/>
      <c r="T18" s="515"/>
      <c r="U18" s="156"/>
      <c r="V18" s="156"/>
      <c r="W18" s="156"/>
      <c r="X18" s="157"/>
      <c r="Y18" s="156"/>
      <c r="Z18" s="156"/>
      <c r="AA18" s="156"/>
      <c r="AB18" s="156"/>
      <c r="AC18" s="152" t="s">
        <v>258</v>
      </c>
      <c r="AD18" s="140" t="s">
        <v>6</v>
      </c>
      <c r="AE18" s="529"/>
      <c r="AF18" s="529"/>
      <c r="AG18" s="530"/>
      <c r="AH18" s="535"/>
      <c r="AI18" s="536"/>
      <c r="AJ18" s="345"/>
      <c r="AK18" s="347"/>
    </row>
    <row r="19" spans="1:37" x14ac:dyDescent="0.35">
      <c r="A19" s="432" t="str">
        <f>IF('Step 5 '!E32="&lt;Diisi dengan akar masalah di langkah 4&gt;","",'Step 5 '!E32)</f>
        <v>D</v>
      </c>
      <c r="B19" s="433"/>
      <c r="C19" s="433"/>
      <c r="D19" s="433"/>
      <c r="E19" s="433"/>
      <c r="F19" s="433"/>
      <c r="G19" s="433"/>
      <c r="H19" s="434"/>
      <c r="I19" s="507" t="str">
        <f>IF('Step 5 '!M32="","",'Step 5 '!M32)</f>
        <v/>
      </c>
      <c r="J19" s="508"/>
      <c r="K19" s="508"/>
      <c r="L19" s="508"/>
      <c r="M19" s="508"/>
      <c r="N19" s="509"/>
      <c r="O19" s="507" t="str">
        <f>IF('Step 5 '!Y32="","",'Step 5 '!Y32)</f>
        <v/>
      </c>
      <c r="P19" s="508"/>
      <c r="Q19" s="508"/>
      <c r="R19" s="508"/>
      <c r="S19" s="508"/>
      <c r="T19" s="509"/>
      <c r="U19" s="153"/>
      <c r="V19" s="153"/>
      <c r="W19" s="153"/>
      <c r="X19" s="154"/>
      <c r="Y19" s="153"/>
      <c r="Z19" s="153"/>
      <c r="AA19" s="153"/>
      <c r="AB19" s="153"/>
      <c r="AC19" s="150" t="s">
        <v>256</v>
      </c>
      <c r="AD19" s="126" t="s">
        <v>6</v>
      </c>
      <c r="AE19" s="525"/>
      <c r="AF19" s="525"/>
      <c r="AG19" s="526"/>
      <c r="AH19" s="298"/>
      <c r="AI19" s="300"/>
      <c r="AJ19" s="298"/>
      <c r="AK19" s="300"/>
    </row>
    <row r="20" spans="1:37" x14ac:dyDescent="0.35">
      <c r="A20" s="435"/>
      <c r="B20" s="436"/>
      <c r="C20" s="436"/>
      <c r="D20" s="436"/>
      <c r="E20" s="436"/>
      <c r="F20" s="436"/>
      <c r="G20" s="436"/>
      <c r="H20" s="437"/>
      <c r="I20" s="510"/>
      <c r="J20" s="511"/>
      <c r="K20" s="511"/>
      <c r="L20" s="511"/>
      <c r="M20" s="511"/>
      <c r="N20" s="512"/>
      <c r="O20" s="510"/>
      <c r="P20" s="511"/>
      <c r="Q20" s="511"/>
      <c r="R20" s="511"/>
      <c r="S20" s="511"/>
      <c r="T20" s="512"/>
      <c r="U20" s="68"/>
      <c r="V20" s="68"/>
      <c r="W20" s="68"/>
      <c r="X20" s="155"/>
      <c r="Y20" s="68"/>
      <c r="Z20" s="68"/>
      <c r="AA20" s="68"/>
      <c r="AB20" s="68"/>
      <c r="AC20" s="151" t="s">
        <v>257</v>
      </c>
      <c r="AD20" s="32" t="s">
        <v>6</v>
      </c>
      <c r="AE20" s="527"/>
      <c r="AF20" s="527"/>
      <c r="AG20" s="528"/>
      <c r="AH20" s="343"/>
      <c r="AI20" s="344"/>
      <c r="AJ20" s="343"/>
      <c r="AK20" s="344"/>
    </row>
    <row r="21" spans="1:37" x14ac:dyDescent="0.35">
      <c r="A21" s="438"/>
      <c r="B21" s="439"/>
      <c r="C21" s="439"/>
      <c r="D21" s="439"/>
      <c r="E21" s="439"/>
      <c r="F21" s="439"/>
      <c r="G21" s="439"/>
      <c r="H21" s="440"/>
      <c r="I21" s="513"/>
      <c r="J21" s="514"/>
      <c r="K21" s="514"/>
      <c r="L21" s="514"/>
      <c r="M21" s="514"/>
      <c r="N21" s="515"/>
      <c r="O21" s="513"/>
      <c r="P21" s="514"/>
      <c r="Q21" s="514"/>
      <c r="R21" s="514"/>
      <c r="S21" s="514"/>
      <c r="T21" s="515"/>
      <c r="U21" s="156"/>
      <c r="V21" s="156"/>
      <c r="W21" s="156"/>
      <c r="X21" s="157"/>
      <c r="Y21" s="156"/>
      <c r="Z21" s="156"/>
      <c r="AA21" s="156"/>
      <c r="AB21" s="156"/>
      <c r="AC21" s="152" t="s">
        <v>258</v>
      </c>
      <c r="AD21" s="140" t="s">
        <v>6</v>
      </c>
      <c r="AE21" s="529"/>
      <c r="AF21" s="529"/>
      <c r="AG21" s="530"/>
      <c r="AH21" s="345"/>
      <c r="AI21" s="347"/>
      <c r="AJ21" s="345"/>
      <c r="AK21" s="347"/>
    </row>
    <row r="22" spans="1:37" x14ac:dyDescent="0.35">
      <c r="A22" s="432" t="str">
        <f>IF('Step 5 '!E35="&lt;Diisi dengan akar masalah di langkah 4&gt;","",'Step 5 '!E35)</f>
        <v>E</v>
      </c>
      <c r="B22" s="433"/>
      <c r="C22" s="433"/>
      <c r="D22" s="433"/>
      <c r="E22" s="433"/>
      <c r="F22" s="433"/>
      <c r="G22" s="433"/>
      <c r="H22" s="434"/>
      <c r="I22" s="507" t="str">
        <f>IF('Step 5 '!M35="","",'Step 5 '!M35)</f>
        <v/>
      </c>
      <c r="J22" s="508"/>
      <c r="K22" s="508"/>
      <c r="L22" s="508"/>
      <c r="M22" s="508"/>
      <c r="N22" s="509"/>
      <c r="O22" s="516" t="str">
        <f>IF('Step 5 '!Y35="","",'Step 5 '!Y35)</f>
        <v/>
      </c>
      <c r="P22" s="517"/>
      <c r="Q22" s="517"/>
      <c r="R22" s="517"/>
      <c r="S22" s="517"/>
      <c r="T22" s="518"/>
      <c r="U22" s="153"/>
      <c r="V22" s="153"/>
      <c r="W22" s="153"/>
      <c r="X22" s="154"/>
      <c r="Y22" s="153"/>
      <c r="Z22" s="153"/>
      <c r="AA22" s="153"/>
      <c r="AB22" s="153"/>
      <c r="AC22" s="150" t="s">
        <v>256</v>
      </c>
      <c r="AD22" s="126" t="s">
        <v>6</v>
      </c>
      <c r="AE22" s="450"/>
      <c r="AF22" s="450"/>
      <c r="AG22" s="451"/>
      <c r="AH22" s="298"/>
      <c r="AI22" s="300"/>
      <c r="AJ22" s="298"/>
      <c r="AK22" s="300"/>
    </row>
    <row r="23" spans="1:37" x14ac:dyDescent="0.35">
      <c r="A23" s="435"/>
      <c r="B23" s="436"/>
      <c r="C23" s="436"/>
      <c r="D23" s="436"/>
      <c r="E23" s="436"/>
      <c r="F23" s="436"/>
      <c r="G23" s="436"/>
      <c r="H23" s="437"/>
      <c r="I23" s="510"/>
      <c r="J23" s="511"/>
      <c r="K23" s="511"/>
      <c r="L23" s="511"/>
      <c r="M23" s="511"/>
      <c r="N23" s="512"/>
      <c r="O23" s="519"/>
      <c r="P23" s="520"/>
      <c r="Q23" s="520"/>
      <c r="R23" s="520"/>
      <c r="S23" s="520"/>
      <c r="T23" s="521"/>
      <c r="U23" s="68"/>
      <c r="V23" s="68"/>
      <c r="W23" s="68"/>
      <c r="X23" s="155"/>
      <c r="Y23" s="68"/>
      <c r="Z23" s="68"/>
      <c r="AA23" s="68"/>
      <c r="AB23" s="68"/>
      <c r="AC23" s="151" t="s">
        <v>257</v>
      </c>
      <c r="AD23" s="32" t="s">
        <v>6</v>
      </c>
      <c r="AG23" s="129"/>
      <c r="AH23" s="343"/>
      <c r="AI23" s="344"/>
      <c r="AJ23" s="343"/>
      <c r="AK23" s="344"/>
    </row>
    <row r="24" spans="1:37" x14ac:dyDescent="0.35">
      <c r="A24" s="438"/>
      <c r="B24" s="439"/>
      <c r="C24" s="439"/>
      <c r="D24" s="439"/>
      <c r="E24" s="439"/>
      <c r="F24" s="439"/>
      <c r="G24" s="439"/>
      <c r="H24" s="440"/>
      <c r="I24" s="513"/>
      <c r="J24" s="514"/>
      <c r="K24" s="514"/>
      <c r="L24" s="514"/>
      <c r="M24" s="514"/>
      <c r="N24" s="515"/>
      <c r="O24" s="522"/>
      <c r="P24" s="523"/>
      <c r="Q24" s="523"/>
      <c r="R24" s="523"/>
      <c r="S24" s="523"/>
      <c r="T24" s="524"/>
      <c r="U24" s="156"/>
      <c r="V24" s="156"/>
      <c r="W24" s="156"/>
      <c r="X24" s="157"/>
      <c r="Y24" s="156"/>
      <c r="Z24" s="156"/>
      <c r="AA24" s="156"/>
      <c r="AB24" s="156"/>
      <c r="AC24" s="152" t="s">
        <v>258</v>
      </c>
      <c r="AD24" s="140" t="s">
        <v>6</v>
      </c>
      <c r="AE24" s="140"/>
      <c r="AF24" s="140"/>
      <c r="AG24" s="141"/>
      <c r="AH24" s="345"/>
      <c r="AI24" s="347"/>
      <c r="AJ24" s="345"/>
      <c r="AK24" s="347"/>
    </row>
    <row r="25" spans="1:37" x14ac:dyDescent="0.35">
      <c r="A25" s="432" t="str">
        <f>IF('Step 5 '!E38="&lt;Diisi dengan akar masalah di langkah 4&gt;","",'Step 5 '!E38)</f>
        <v>F</v>
      </c>
      <c r="B25" s="433"/>
      <c r="C25" s="433"/>
      <c r="D25" s="433"/>
      <c r="E25" s="433"/>
      <c r="F25" s="433"/>
      <c r="G25" s="433"/>
      <c r="H25" s="434"/>
      <c r="I25" s="507" t="str">
        <f>IF('Step 5 '!M38="","",'Step 5 '!M38)</f>
        <v/>
      </c>
      <c r="J25" s="508"/>
      <c r="K25" s="508"/>
      <c r="L25" s="508"/>
      <c r="M25" s="508"/>
      <c r="N25" s="509"/>
      <c r="O25" s="516" t="str">
        <f>IF('Step 5 '!Y38="","",'Step 5 '!Y38)</f>
        <v/>
      </c>
      <c r="P25" s="517"/>
      <c r="Q25" s="517"/>
      <c r="R25" s="517"/>
      <c r="S25" s="517"/>
      <c r="T25" s="518"/>
      <c r="U25" s="153"/>
      <c r="V25" s="153"/>
      <c r="W25" s="153"/>
      <c r="X25" s="154"/>
      <c r="Y25" s="153"/>
      <c r="Z25" s="153"/>
      <c r="AA25" s="153"/>
      <c r="AB25" s="153"/>
      <c r="AC25" s="150" t="s">
        <v>256</v>
      </c>
      <c r="AD25" s="126" t="s">
        <v>6</v>
      </c>
      <c r="AE25" s="450"/>
      <c r="AF25" s="450"/>
      <c r="AG25" s="451"/>
      <c r="AH25" s="298"/>
      <c r="AI25" s="300"/>
      <c r="AJ25" s="298"/>
      <c r="AK25" s="300"/>
    </row>
    <row r="26" spans="1:37" x14ac:dyDescent="0.35">
      <c r="A26" s="435"/>
      <c r="B26" s="436"/>
      <c r="C26" s="436"/>
      <c r="D26" s="436"/>
      <c r="E26" s="436"/>
      <c r="F26" s="436"/>
      <c r="G26" s="436"/>
      <c r="H26" s="437"/>
      <c r="I26" s="510"/>
      <c r="J26" s="511"/>
      <c r="K26" s="511"/>
      <c r="L26" s="511"/>
      <c r="M26" s="511"/>
      <c r="N26" s="512"/>
      <c r="O26" s="519"/>
      <c r="P26" s="520"/>
      <c r="Q26" s="520"/>
      <c r="R26" s="520"/>
      <c r="S26" s="520"/>
      <c r="T26" s="521"/>
      <c r="U26" s="68"/>
      <c r="V26" s="68"/>
      <c r="W26" s="68"/>
      <c r="X26" s="155"/>
      <c r="Y26" s="68"/>
      <c r="Z26" s="68"/>
      <c r="AA26" s="68"/>
      <c r="AB26" s="68"/>
      <c r="AC26" s="151" t="s">
        <v>257</v>
      </c>
      <c r="AD26" s="32" t="s">
        <v>6</v>
      </c>
      <c r="AG26" s="129"/>
      <c r="AH26" s="343"/>
      <c r="AI26" s="344"/>
      <c r="AJ26" s="343"/>
      <c r="AK26" s="344"/>
    </row>
    <row r="27" spans="1:37" x14ac:dyDescent="0.35">
      <c r="A27" s="438"/>
      <c r="B27" s="439"/>
      <c r="C27" s="439"/>
      <c r="D27" s="439"/>
      <c r="E27" s="439"/>
      <c r="F27" s="439"/>
      <c r="G27" s="439"/>
      <c r="H27" s="440"/>
      <c r="I27" s="513"/>
      <c r="J27" s="514"/>
      <c r="K27" s="514"/>
      <c r="L27" s="514"/>
      <c r="M27" s="514"/>
      <c r="N27" s="515"/>
      <c r="O27" s="522"/>
      <c r="P27" s="523"/>
      <c r="Q27" s="523"/>
      <c r="R27" s="523"/>
      <c r="S27" s="523"/>
      <c r="T27" s="524"/>
      <c r="U27" s="156"/>
      <c r="V27" s="156"/>
      <c r="W27" s="156"/>
      <c r="X27" s="157"/>
      <c r="Y27" s="156"/>
      <c r="Z27" s="156"/>
      <c r="AA27" s="156"/>
      <c r="AB27" s="156"/>
      <c r="AC27" s="152" t="s">
        <v>258</v>
      </c>
      <c r="AD27" s="140" t="s">
        <v>6</v>
      </c>
      <c r="AE27" s="140"/>
      <c r="AF27" s="140"/>
      <c r="AG27" s="141"/>
      <c r="AH27" s="345"/>
      <c r="AI27" s="347"/>
      <c r="AJ27" s="345"/>
      <c r="AK27" s="347"/>
    </row>
    <row r="28" spans="1:37" x14ac:dyDescent="0.35">
      <c r="A28" s="432" t="str">
        <f>IF('Step 5 '!E41="&lt;Diisi dengan akar masalah di langkah 4&gt;","",'Step 5 '!E41)</f>
        <v>G</v>
      </c>
      <c r="B28" s="433"/>
      <c r="C28" s="433"/>
      <c r="D28" s="433"/>
      <c r="E28" s="433"/>
      <c r="F28" s="433"/>
      <c r="G28" s="433"/>
      <c r="H28" s="434"/>
      <c r="I28" s="507" t="str">
        <f>IF('Step 5 '!M41="","",'Step 5 '!M41)</f>
        <v/>
      </c>
      <c r="J28" s="508"/>
      <c r="K28" s="508"/>
      <c r="L28" s="508"/>
      <c r="M28" s="508"/>
      <c r="N28" s="509"/>
      <c r="O28" s="516" t="str">
        <f>IF('Step 5 '!Y41="","",'Step 5 '!Y41)</f>
        <v/>
      </c>
      <c r="P28" s="517"/>
      <c r="Q28" s="517"/>
      <c r="R28" s="517"/>
      <c r="S28" s="517"/>
      <c r="T28" s="518"/>
      <c r="U28" s="153"/>
      <c r="V28" s="153"/>
      <c r="W28" s="153"/>
      <c r="X28" s="154"/>
      <c r="Y28" s="153"/>
      <c r="Z28" s="153"/>
      <c r="AA28" s="153"/>
      <c r="AB28" s="153"/>
      <c r="AC28" s="150" t="s">
        <v>256</v>
      </c>
      <c r="AD28" s="126" t="s">
        <v>6</v>
      </c>
      <c r="AE28" s="450"/>
      <c r="AF28" s="450"/>
      <c r="AG28" s="451"/>
      <c r="AH28" s="298"/>
      <c r="AI28" s="300"/>
      <c r="AJ28" s="298"/>
      <c r="AK28" s="300"/>
    </row>
    <row r="29" spans="1:37" x14ac:dyDescent="0.35">
      <c r="A29" s="435"/>
      <c r="B29" s="436"/>
      <c r="C29" s="436"/>
      <c r="D29" s="436"/>
      <c r="E29" s="436"/>
      <c r="F29" s="436"/>
      <c r="G29" s="436"/>
      <c r="H29" s="437"/>
      <c r="I29" s="510"/>
      <c r="J29" s="511"/>
      <c r="K29" s="511"/>
      <c r="L29" s="511"/>
      <c r="M29" s="511"/>
      <c r="N29" s="512"/>
      <c r="O29" s="519"/>
      <c r="P29" s="520"/>
      <c r="Q29" s="520"/>
      <c r="R29" s="520"/>
      <c r="S29" s="520"/>
      <c r="T29" s="521"/>
      <c r="U29" s="68"/>
      <c r="V29" s="68"/>
      <c r="W29" s="68"/>
      <c r="X29" s="155"/>
      <c r="Y29" s="68"/>
      <c r="Z29" s="68"/>
      <c r="AA29" s="68"/>
      <c r="AB29" s="68"/>
      <c r="AC29" s="151" t="s">
        <v>257</v>
      </c>
      <c r="AD29" s="32" t="s">
        <v>6</v>
      </c>
      <c r="AG29" s="129"/>
      <c r="AH29" s="343"/>
      <c r="AI29" s="344"/>
      <c r="AJ29" s="343"/>
      <c r="AK29" s="344"/>
    </row>
    <row r="30" spans="1:37" x14ac:dyDescent="0.35">
      <c r="A30" s="438"/>
      <c r="B30" s="439"/>
      <c r="C30" s="439"/>
      <c r="D30" s="439"/>
      <c r="E30" s="439"/>
      <c r="F30" s="439"/>
      <c r="G30" s="439"/>
      <c r="H30" s="440"/>
      <c r="I30" s="513"/>
      <c r="J30" s="514"/>
      <c r="K30" s="514"/>
      <c r="L30" s="514"/>
      <c r="M30" s="514"/>
      <c r="N30" s="515"/>
      <c r="O30" s="522"/>
      <c r="P30" s="523"/>
      <c r="Q30" s="523"/>
      <c r="R30" s="523"/>
      <c r="S30" s="523"/>
      <c r="T30" s="524"/>
      <c r="U30" s="156"/>
      <c r="V30" s="156"/>
      <c r="W30" s="156"/>
      <c r="X30" s="157"/>
      <c r="Y30" s="156"/>
      <c r="Z30" s="156"/>
      <c r="AA30" s="156"/>
      <c r="AB30" s="156"/>
      <c r="AC30" s="152" t="s">
        <v>258</v>
      </c>
      <c r="AD30" s="140" t="s">
        <v>6</v>
      </c>
      <c r="AE30" s="140"/>
      <c r="AF30" s="140"/>
      <c r="AG30" s="141"/>
      <c r="AH30" s="345"/>
      <c r="AI30" s="347"/>
      <c r="AJ30" s="345"/>
      <c r="AK30" s="347"/>
    </row>
    <row r="31" spans="1:37" x14ac:dyDescent="0.35">
      <c r="A31" s="432" t="str">
        <f>IF('Step 5 '!E44="&lt;Diisi dengan akar masalah di langkah 4&gt;","",'Step 5 '!E44)</f>
        <v>H</v>
      </c>
      <c r="B31" s="433"/>
      <c r="C31" s="433"/>
      <c r="D31" s="433"/>
      <c r="E31" s="433"/>
      <c r="F31" s="433"/>
      <c r="G31" s="433"/>
      <c r="H31" s="434"/>
      <c r="I31" s="507" t="str">
        <f>IF('Step 5 '!M44="","",'Step 5 '!M44)</f>
        <v/>
      </c>
      <c r="J31" s="508"/>
      <c r="K31" s="508"/>
      <c r="L31" s="508"/>
      <c r="M31" s="508"/>
      <c r="N31" s="509"/>
      <c r="O31" s="516" t="str">
        <f>IF('Step 5 '!Y44="","",'Step 5 '!Y44)</f>
        <v/>
      </c>
      <c r="P31" s="517"/>
      <c r="Q31" s="517"/>
      <c r="R31" s="517"/>
      <c r="S31" s="517"/>
      <c r="T31" s="518"/>
      <c r="U31" s="153"/>
      <c r="V31" s="153"/>
      <c r="W31" s="153"/>
      <c r="X31" s="154"/>
      <c r="Y31" s="153"/>
      <c r="Z31" s="153"/>
      <c r="AA31" s="153"/>
      <c r="AB31" s="153"/>
      <c r="AC31" s="150" t="s">
        <v>256</v>
      </c>
      <c r="AD31" s="126" t="s">
        <v>6</v>
      </c>
      <c r="AE31" s="450"/>
      <c r="AF31" s="450"/>
      <c r="AG31" s="451"/>
      <c r="AH31" s="298"/>
      <c r="AI31" s="300"/>
      <c r="AJ31" s="298"/>
      <c r="AK31" s="300"/>
    </row>
    <row r="32" spans="1:37" x14ac:dyDescent="0.35">
      <c r="A32" s="435"/>
      <c r="B32" s="436"/>
      <c r="C32" s="436"/>
      <c r="D32" s="436"/>
      <c r="E32" s="436"/>
      <c r="F32" s="436"/>
      <c r="G32" s="436"/>
      <c r="H32" s="437"/>
      <c r="I32" s="510"/>
      <c r="J32" s="511"/>
      <c r="K32" s="511"/>
      <c r="L32" s="511"/>
      <c r="M32" s="511"/>
      <c r="N32" s="512"/>
      <c r="O32" s="519"/>
      <c r="P32" s="520"/>
      <c r="Q32" s="520"/>
      <c r="R32" s="520"/>
      <c r="S32" s="520"/>
      <c r="T32" s="521"/>
      <c r="U32" s="68"/>
      <c r="V32" s="68"/>
      <c r="W32" s="68"/>
      <c r="X32" s="155"/>
      <c r="Y32" s="68"/>
      <c r="Z32" s="68"/>
      <c r="AA32" s="68"/>
      <c r="AB32" s="68"/>
      <c r="AC32" s="151" t="s">
        <v>257</v>
      </c>
      <c r="AD32" s="32" t="s">
        <v>6</v>
      </c>
      <c r="AG32" s="129"/>
      <c r="AH32" s="343"/>
      <c r="AI32" s="344"/>
      <c r="AJ32" s="343"/>
      <c r="AK32" s="344"/>
    </row>
    <row r="33" spans="1:37" x14ac:dyDescent="0.35">
      <c r="A33" s="438"/>
      <c r="B33" s="439"/>
      <c r="C33" s="439"/>
      <c r="D33" s="439"/>
      <c r="E33" s="439"/>
      <c r="F33" s="439"/>
      <c r="G33" s="439"/>
      <c r="H33" s="440"/>
      <c r="I33" s="513"/>
      <c r="J33" s="514"/>
      <c r="K33" s="514"/>
      <c r="L33" s="514"/>
      <c r="M33" s="514"/>
      <c r="N33" s="515"/>
      <c r="O33" s="522"/>
      <c r="P33" s="523"/>
      <c r="Q33" s="523"/>
      <c r="R33" s="523"/>
      <c r="S33" s="523"/>
      <c r="T33" s="524"/>
      <c r="U33" s="156"/>
      <c r="V33" s="156"/>
      <c r="W33" s="156"/>
      <c r="X33" s="157"/>
      <c r="Y33" s="156"/>
      <c r="Z33" s="156"/>
      <c r="AA33" s="156"/>
      <c r="AB33" s="156"/>
      <c r="AC33" s="152" t="s">
        <v>258</v>
      </c>
      <c r="AD33" s="140" t="s">
        <v>6</v>
      </c>
      <c r="AE33" s="140"/>
      <c r="AF33" s="140"/>
      <c r="AG33" s="141"/>
      <c r="AH33" s="345"/>
      <c r="AI33" s="347"/>
      <c r="AJ33" s="345"/>
      <c r="AK33" s="347"/>
    </row>
    <row r="34" spans="1:37" x14ac:dyDescent="0.35">
      <c r="A34" s="432" t="str">
        <f>IF('Step 5 '!E47="&lt;Diisi dengan akar masalah di langkah 4&gt;","",'Step 5 '!E47)</f>
        <v/>
      </c>
      <c r="B34" s="433"/>
      <c r="C34" s="433"/>
      <c r="D34" s="433"/>
      <c r="E34" s="433"/>
      <c r="F34" s="433"/>
      <c r="G34" s="433"/>
      <c r="H34" s="434"/>
      <c r="I34" s="507" t="str">
        <f>IF('Step 5 '!M47="","",'Step 5 '!M47)</f>
        <v/>
      </c>
      <c r="J34" s="508"/>
      <c r="K34" s="508"/>
      <c r="L34" s="508"/>
      <c r="M34" s="508"/>
      <c r="N34" s="509"/>
      <c r="O34" s="516" t="str">
        <f>IF('Step 5 '!Y47="","",'Step 5 '!Y47)</f>
        <v/>
      </c>
      <c r="P34" s="517"/>
      <c r="Q34" s="517"/>
      <c r="R34" s="517"/>
      <c r="S34" s="517"/>
      <c r="T34" s="518"/>
      <c r="U34" s="153"/>
      <c r="V34" s="153"/>
      <c r="W34" s="153"/>
      <c r="X34" s="154"/>
      <c r="Y34" s="153"/>
      <c r="Z34" s="153"/>
      <c r="AA34" s="153"/>
      <c r="AB34" s="153"/>
      <c r="AC34" s="150" t="s">
        <v>256</v>
      </c>
      <c r="AD34" s="126" t="s">
        <v>6</v>
      </c>
      <c r="AE34" s="450"/>
      <c r="AF34" s="450"/>
      <c r="AG34" s="451"/>
      <c r="AH34" s="298"/>
      <c r="AI34" s="300"/>
      <c r="AJ34" s="298"/>
      <c r="AK34" s="300"/>
    </row>
    <row r="35" spans="1:37" x14ac:dyDescent="0.35">
      <c r="A35" s="435"/>
      <c r="B35" s="436"/>
      <c r="C35" s="436"/>
      <c r="D35" s="436"/>
      <c r="E35" s="436"/>
      <c r="F35" s="436"/>
      <c r="G35" s="436"/>
      <c r="H35" s="437"/>
      <c r="I35" s="510"/>
      <c r="J35" s="511"/>
      <c r="K35" s="511"/>
      <c r="L35" s="511"/>
      <c r="M35" s="511"/>
      <c r="N35" s="512"/>
      <c r="O35" s="519"/>
      <c r="P35" s="520"/>
      <c r="Q35" s="520"/>
      <c r="R35" s="520"/>
      <c r="S35" s="520"/>
      <c r="T35" s="521"/>
      <c r="U35" s="68"/>
      <c r="V35" s="68"/>
      <c r="W35" s="68"/>
      <c r="X35" s="155"/>
      <c r="Y35" s="68"/>
      <c r="Z35" s="68"/>
      <c r="AA35" s="68"/>
      <c r="AB35" s="68"/>
      <c r="AC35" s="151" t="s">
        <v>257</v>
      </c>
      <c r="AD35" s="32" t="s">
        <v>6</v>
      </c>
      <c r="AG35" s="129"/>
      <c r="AH35" s="343"/>
      <c r="AI35" s="344"/>
      <c r="AJ35" s="343"/>
      <c r="AK35" s="344"/>
    </row>
    <row r="36" spans="1:37" x14ac:dyDescent="0.35">
      <c r="A36" s="438"/>
      <c r="B36" s="439"/>
      <c r="C36" s="439"/>
      <c r="D36" s="439"/>
      <c r="E36" s="439"/>
      <c r="F36" s="439"/>
      <c r="G36" s="439"/>
      <c r="H36" s="440"/>
      <c r="I36" s="513"/>
      <c r="J36" s="514"/>
      <c r="K36" s="514"/>
      <c r="L36" s="514"/>
      <c r="M36" s="514"/>
      <c r="N36" s="515"/>
      <c r="O36" s="522"/>
      <c r="P36" s="523"/>
      <c r="Q36" s="523"/>
      <c r="R36" s="523"/>
      <c r="S36" s="523"/>
      <c r="T36" s="524"/>
      <c r="U36" s="156"/>
      <c r="V36" s="156"/>
      <c r="W36" s="156"/>
      <c r="X36" s="157"/>
      <c r="Y36" s="156"/>
      <c r="Z36" s="156"/>
      <c r="AA36" s="156"/>
      <c r="AB36" s="156"/>
      <c r="AC36" s="152" t="s">
        <v>258</v>
      </c>
      <c r="AD36" s="140" t="s">
        <v>6</v>
      </c>
      <c r="AE36" s="140"/>
      <c r="AF36" s="140"/>
      <c r="AG36" s="141"/>
      <c r="AH36" s="345"/>
      <c r="AI36" s="347"/>
      <c r="AJ36" s="345"/>
      <c r="AK36" s="347"/>
    </row>
  </sheetData>
  <sheetProtection password="ED26" sheet="1" formatCells="0" formatColumns="0" formatRows="0"/>
  <mergeCells count="79">
    <mergeCell ref="I10:N12"/>
    <mergeCell ref="A10:H12"/>
    <mergeCell ref="AE13:AG13"/>
    <mergeCell ref="AH25:AI27"/>
    <mergeCell ref="AJ25:AK27"/>
    <mergeCell ref="AE25:AG25"/>
    <mergeCell ref="AH19:AI21"/>
    <mergeCell ref="AJ19:AK21"/>
    <mergeCell ref="AE22:AG22"/>
    <mergeCell ref="AH13:AI15"/>
    <mergeCell ref="A25:H27"/>
    <mergeCell ref="I25:N27"/>
    <mergeCell ref="O25:T27"/>
    <mergeCell ref="A22:H24"/>
    <mergeCell ref="I22:N24"/>
    <mergeCell ref="O22:T24"/>
    <mergeCell ref="I13:N15"/>
    <mergeCell ref="AJ13:AK15"/>
    <mergeCell ref="A16:H18"/>
    <mergeCell ref="I16:N18"/>
    <mergeCell ref="O16:T18"/>
    <mergeCell ref="AE16:AG16"/>
    <mergeCell ref="AH16:AI18"/>
    <mergeCell ref="AJ16:AK18"/>
    <mergeCell ref="A13:H15"/>
    <mergeCell ref="O13:T15"/>
    <mergeCell ref="AE14:AG14"/>
    <mergeCell ref="AE15:AG15"/>
    <mergeCell ref="AE17:AG17"/>
    <mergeCell ref="AE18:AG18"/>
    <mergeCell ref="AH22:AI24"/>
    <mergeCell ref="AJ22:AK24"/>
    <mergeCell ref="A19:H21"/>
    <mergeCell ref="I19:N21"/>
    <mergeCell ref="O19:T21"/>
    <mergeCell ref="AE19:AG19"/>
    <mergeCell ref="AE20:AG20"/>
    <mergeCell ref="AE21:AG21"/>
    <mergeCell ref="A7:H9"/>
    <mergeCell ref="I7:N9"/>
    <mergeCell ref="O7:T9"/>
    <mergeCell ref="AE7:AG7"/>
    <mergeCell ref="O5:T6"/>
    <mergeCell ref="AC5:AG5"/>
    <mergeCell ref="Y5:AB6"/>
    <mergeCell ref="U5:X6"/>
    <mergeCell ref="A5:H6"/>
    <mergeCell ref="I5:N6"/>
    <mergeCell ref="AE10:AG10"/>
    <mergeCell ref="AH10:AI12"/>
    <mergeCell ref="O10:T12"/>
    <mergeCell ref="AJ5:AK6"/>
    <mergeCell ref="AC6:AG6"/>
    <mergeCell ref="AH5:AI6"/>
    <mergeCell ref="AH7:AI9"/>
    <mergeCell ref="AJ7:AK9"/>
    <mergeCell ref="AJ10:AK12"/>
    <mergeCell ref="AE8:AG8"/>
    <mergeCell ref="AE9:AG9"/>
    <mergeCell ref="AE11:AG11"/>
    <mergeCell ref="AE12:AG12"/>
    <mergeCell ref="AJ28:AK30"/>
    <mergeCell ref="A31:H33"/>
    <mergeCell ref="I31:N33"/>
    <mergeCell ref="O31:T33"/>
    <mergeCell ref="AE31:AG31"/>
    <mergeCell ref="AH31:AI33"/>
    <mergeCell ref="AJ31:AK33"/>
    <mergeCell ref="A28:H30"/>
    <mergeCell ref="I28:N30"/>
    <mergeCell ref="O28:T30"/>
    <mergeCell ref="AE28:AG28"/>
    <mergeCell ref="AH28:AI30"/>
    <mergeCell ref="AJ34:AK36"/>
    <mergeCell ref="A34:H36"/>
    <mergeCell ref="I34:N36"/>
    <mergeCell ref="O34:T36"/>
    <mergeCell ref="AE34:AG34"/>
    <mergeCell ref="AH34:AI36"/>
  </mergeCells>
  <printOptions horizontalCentered="1"/>
  <pageMargins left="0.25" right="0.25" top="0.25" bottom="0.25" header="0.3" footer="0.2"/>
  <pageSetup paperSize="9" scale="82" orientation="landscape" r:id="rId1"/>
  <headerFooter>
    <oddFooter>&amp;R&amp;"Palatino Linotype,Italic"&amp;10Lampiran Kertas Kerja QCC-QCP Rev.2(191213)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B050"/>
  </sheetPr>
  <dimension ref="B1:Q46"/>
  <sheetViews>
    <sheetView showGridLines="0" view="pageBreakPreview" zoomScaleNormal="120" zoomScaleSheetLayoutView="100" workbookViewId="0">
      <selection activeCell="H2" sqref="H2"/>
    </sheetView>
  </sheetViews>
  <sheetFormatPr defaultColWidth="9.1796875" defaultRowHeight="14.5" x14ac:dyDescent="0.35"/>
  <cols>
    <col min="1" max="1" width="3.1796875" style="32" customWidth="1"/>
    <col min="2" max="2" width="17.1796875" style="32" customWidth="1"/>
    <col min="3" max="6" width="7.7265625" style="32" customWidth="1"/>
    <col min="7" max="7" width="11.453125" style="32" customWidth="1"/>
    <col min="8" max="8" width="10.7265625" style="32" customWidth="1"/>
    <col min="9" max="9" width="10.453125" style="32" customWidth="1"/>
    <col min="10" max="10" width="9.1796875" style="32"/>
    <col min="11" max="11" width="1.7265625" style="32" customWidth="1"/>
    <col min="12" max="14" width="0" style="32" hidden="1" customWidth="1"/>
    <col min="15" max="15" width="14.453125" style="32" hidden="1" customWidth="1"/>
    <col min="16" max="16" width="17.1796875" style="32" hidden="1" customWidth="1"/>
    <col min="17" max="17" width="0" style="32" hidden="1" customWidth="1"/>
    <col min="18" max="16384" width="9.1796875" style="32"/>
  </cols>
  <sheetData>
    <row r="1" spans="2:17" ht="19" thickTop="1" x14ac:dyDescent="0.45">
      <c r="B1" s="33" t="s">
        <v>265</v>
      </c>
      <c r="C1" s="33"/>
      <c r="D1" s="33"/>
      <c r="E1" s="33"/>
      <c r="F1" s="33"/>
      <c r="M1" s="55"/>
      <c r="N1" s="55"/>
      <c r="O1" s="55"/>
      <c r="P1" s="55"/>
      <c r="Q1" s="55"/>
    </row>
    <row r="2" spans="2:17" ht="18.5" x14ac:dyDescent="0.45">
      <c r="B2" s="33"/>
      <c r="C2" s="33"/>
      <c r="D2" s="33"/>
      <c r="E2" s="33"/>
      <c r="F2" s="33"/>
    </row>
    <row r="3" spans="2:17" ht="18.5" x14ac:dyDescent="0.45">
      <c r="B3" s="33"/>
      <c r="C3" s="33"/>
      <c r="D3" s="33"/>
      <c r="E3" s="33"/>
      <c r="F3" s="33"/>
    </row>
    <row r="4" spans="2:17" ht="8.25" customHeight="1" x14ac:dyDescent="0.35">
      <c r="N4" s="32" t="s">
        <v>190</v>
      </c>
      <c r="O4" s="32">
        <v>50</v>
      </c>
    </row>
    <row r="5" spans="2:17" ht="15" customHeight="1" x14ac:dyDescent="0.35">
      <c r="B5" s="144" t="s">
        <v>266</v>
      </c>
      <c r="C5" s="408" t="s">
        <v>267</v>
      </c>
      <c r="D5" s="537"/>
      <c r="E5" s="537"/>
      <c r="F5" s="409"/>
      <c r="G5" s="158" t="s">
        <v>268</v>
      </c>
      <c r="H5" s="541" t="s">
        <v>269</v>
      </c>
      <c r="I5" s="372" t="str">
        <f>IF('Step 3'!G6="kecil","↓","↑")</f>
        <v>↓</v>
      </c>
      <c r="J5" s="372" t="s">
        <v>270</v>
      </c>
      <c r="M5" s="32">
        <f>M8-M9</f>
        <v>2.21</v>
      </c>
      <c r="O5" s="59" t="s">
        <v>192</v>
      </c>
    </row>
    <row r="6" spans="2:17" x14ac:dyDescent="0.35">
      <c r="B6" s="159"/>
      <c r="C6" s="159"/>
      <c r="D6" s="159"/>
      <c r="E6" s="159"/>
      <c r="F6" s="159"/>
      <c r="G6" s="188"/>
      <c r="H6" s="542"/>
      <c r="I6" s="373"/>
      <c r="J6" s="373"/>
      <c r="L6" s="32">
        <v>4</v>
      </c>
    </row>
    <row r="7" spans="2:17" ht="9" customHeight="1" x14ac:dyDescent="0.35">
      <c r="B7" s="160" t="s">
        <v>271</v>
      </c>
      <c r="C7" s="538" t="s">
        <v>272</v>
      </c>
      <c r="D7" s="539"/>
      <c r="E7" s="539"/>
      <c r="F7" s="540"/>
      <c r="G7" s="189" t="s">
        <v>271</v>
      </c>
      <c r="H7" s="543"/>
      <c r="I7" s="374"/>
      <c r="J7" s="374"/>
    </row>
    <row r="8" spans="2:17" ht="30.75" customHeight="1" x14ac:dyDescent="0.35">
      <c r="B8" s="216">
        <f>'Step 3'!B8</f>
        <v>20</v>
      </c>
      <c r="C8" s="161"/>
      <c r="D8" s="161"/>
      <c r="E8" s="161"/>
      <c r="F8" s="161"/>
      <c r="G8" s="162"/>
      <c r="H8" s="187">
        <f>'Step 3'!D8</f>
        <v>2</v>
      </c>
      <c r="I8" s="142">
        <f>IF(B8&gt;G8,(B8-G8)/B8,(G8-B8)/B8)</f>
        <v>1</v>
      </c>
      <c r="J8" s="112">
        <f>IF('Step 3'!G6="besar",'Step 7'!G8/'Step 3'!D8,(('Step 3'!D8-'Step 7'!G8)+'Step 3'!D8)/'Step 3'!D8)</f>
        <v>2</v>
      </c>
      <c r="L8" s="32">
        <v>2</v>
      </c>
      <c r="M8" s="32">
        <v>4.07</v>
      </c>
      <c r="O8" s="119">
        <v>2.2100000000000002E-2</v>
      </c>
      <c r="P8" s="32">
        <f>M8*O8</f>
        <v>8.9947000000000013E-2</v>
      </c>
    </row>
    <row r="9" spans="2:17" ht="9" customHeight="1" x14ac:dyDescent="0.35">
      <c r="B9" s="163" t="s">
        <v>273</v>
      </c>
      <c r="C9" s="538" t="s">
        <v>274</v>
      </c>
      <c r="D9" s="539"/>
      <c r="E9" s="539"/>
      <c r="F9" s="540"/>
      <c r="G9" s="190" t="s">
        <v>273</v>
      </c>
      <c r="H9" s="186"/>
      <c r="M9" s="32">
        <v>1.86</v>
      </c>
      <c r="P9" s="32">
        <f>M8-P8</f>
        <v>3.9800530000000003</v>
      </c>
    </row>
    <row r="10" spans="2:17" x14ac:dyDescent="0.35">
      <c r="B10" s="32" t="str">
        <f>'Step 3'!E8</f>
        <v>%</v>
      </c>
      <c r="P10" s="32">
        <f>M8-P9</f>
        <v>8.9946999999999999E-2</v>
      </c>
    </row>
    <row r="12" spans="2:17" x14ac:dyDescent="0.35">
      <c r="M12" s="32" t="s">
        <v>195</v>
      </c>
      <c r="N12" s="32" t="s">
        <v>189</v>
      </c>
      <c r="O12" s="32">
        <v>14.74</v>
      </c>
      <c r="P12" s="32">
        <f>O13-O12</f>
        <v>2.42</v>
      </c>
    </row>
    <row r="13" spans="2:17" x14ac:dyDescent="0.35">
      <c r="N13" s="32" t="s">
        <v>190</v>
      </c>
      <c r="O13" s="32">
        <v>17.16</v>
      </c>
    </row>
    <row r="14" spans="2:17" x14ac:dyDescent="0.35">
      <c r="N14" s="32" t="s">
        <v>196</v>
      </c>
      <c r="O14" s="32">
        <f>O13-O12</f>
        <v>2.42</v>
      </c>
    </row>
    <row r="15" spans="2:17" x14ac:dyDescent="0.35">
      <c r="N15" s="32" t="s">
        <v>194</v>
      </c>
      <c r="O15" s="120">
        <f>(O13-O12)/O12</f>
        <v>0.16417910447761194</v>
      </c>
    </row>
    <row r="16" spans="2:17" x14ac:dyDescent="0.35">
      <c r="P16" s="121">
        <f>O17/2</f>
        <v>3491125057.5</v>
      </c>
      <c r="Q16" s="114">
        <f>P16/O17</f>
        <v>0.5</v>
      </c>
    </row>
    <row r="17" spans="2:16" x14ac:dyDescent="0.35">
      <c r="M17" s="32" t="s">
        <v>197</v>
      </c>
      <c r="N17" s="32" t="s">
        <v>189</v>
      </c>
      <c r="O17" s="122">
        <v>6982250115</v>
      </c>
    </row>
    <row r="18" spans="2:16" x14ac:dyDescent="0.35">
      <c r="N18" s="32" t="s">
        <v>190</v>
      </c>
      <c r="O18" s="123">
        <v>5595463275</v>
      </c>
      <c r="P18" s="32">
        <v>2491125057.5</v>
      </c>
    </row>
    <row r="19" spans="2:16" x14ac:dyDescent="0.35">
      <c r="N19" s="32" t="s">
        <v>198</v>
      </c>
      <c r="O19" s="124">
        <f>O17-O18</f>
        <v>1386786840</v>
      </c>
    </row>
    <row r="20" spans="2:16" x14ac:dyDescent="0.35">
      <c r="N20" s="32" t="s">
        <v>194</v>
      </c>
      <c r="O20" s="114">
        <f>(O17-O18)/O17</f>
        <v>0.19861603597109181</v>
      </c>
      <c r="P20" s="114">
        <f>O19/O17</f>
        <v>0.19861603597109181</v>
      </c>
    </row>
    <row r="21" spans="2:16" x14ac:dyDescent="0.35">
      <c r="P21" s="114"/>
    </row>
    <row r="22" spans="2:16" x14ac:dyDescent="0.35">
      <c r="N22" s="32" t="s">
        <v>189</v>
      </c>
      <c r="O22" s="32">
        <v>40</v>
      </c>
    </row>
    <row r="23" spans="2:16" x14ac:dyDescent="0.35">
      <c r="N23" s="32" t="s">
        <v>190</v>
      </c>
      <c r="O23" s="32">
        <v>60</v>
      </c>
    </row>
    <row r="24" spans="2:16" x14ac:dyDescent="0.35">
      <c r="N24" s="32" t="s">
        <v>195</v>
      </c>
      <c r="O24" s="32">
        <f>O23-O22</f>
        <v>20</v>
      </c>
      <c r="P24" s="114">
        <f>(O23-O22)/O22</f>
        <v>0.5</v>
      </c>
    </row>
    <row r="26" spans="2:16" x14ac:dyDescent="0.35">
      <c r="B26" s="125"/>
      <c r="C26" s="126"/>
      <c r="D26" s="126"/>
      <c r="E26" s="126"/>
      <c r="F26" s="126"/>
      <c r="G26" s="126"/>
      <c r="H26" s="126"/>
      <c r="I26" s="126"/>
      <c r="J26" s="127"/>
    </row>
    <row r="27" spans="2:16" ht="15.5" x14ac:dyDescent="0.35">
      <c r="B27" s="128" t="s">
        <v>275</v>
      </c>
      <c r="J27" s="129"/>
    </row>
    <row r="28" spans="2:16" ht="21" customHeight="1" x14ac:dyDescent="0.35">
      <c r="B28" s="164" t="s">
        <v>276</v>
      </c>
      <c r="J28" s="129"/>
    </row>
    <row r="29" spans="2:16" ht="18" customHeight="1" x14ac:dyDescent="0.35">
      <c r="B29" s="165" t="s">
        <v>277</v>
      </c>
      <c r="C29" s="130"/>
      <c r="D29" s="130"/>
      <c r="E29" s="130"/>
      <c r="F29" s="130"/>
      <c r="J29" s="129"/>
    </row>
    <row r="30" spans="2:16" ht="18" customHeight="1" x14ac:dyDescent="0.35">
      <c r="B30" s="165" t="s">
        <v>277</v>
      </c>
      <c r="C30" s="130"/>
      <c r="D30" s="130"/>
      <c r="E30" s="130"/>
      <c r="F30" s="130"/>
      <c r="J30" s="129"/>
    </row>
    <row r="31" spans="2:16" ht="21" customHeight="1" x14ac:dyDescent="0.35">
      <c r="B31" s="164" t="s">
        <v>278</v>
      </c>
      <c r="J31" s="129"/>
    </row>
    <row r="32" spans="2:16" ht="18" customHeight="1" x14ac:dyDescent="0.35">
      <c r="B32" s="165" t="s">
        <v>277</v>
      </c>
      <c r="C32" s="130"/>
      <c r="D32" s="130"/>
      <c r="E32" s="130"/>
      <c r="F32" s="130"/>
      <c r="J32" s="129"/>
    </row>
    <row r="33" spans="2:10" ht="18" customHeight="1" x14ac:dyDescent="0.35">
      <c r="B33" s="165" t="s">
        <v>277</v>
      </c>
      <c r="C33" s="130"/>
      <c r="D33" s="130"/>
      <c r="E33" s="130"/>
      <c r="F33" s="130"/>
      <c r="J33" s="129"/>
    </row>
    <row r="34" spans="2:10" ht="21" customHeight="1" x14ac:dyDescent="0.35">
      <c r="B34" s="164" t="s">
        <v>279</v>
      </c>
      <c r="J34" s="129"/>
    </row>
    <row r="35" spans="2:10" ht="18" customHeight="1" x14ac:dyDescent="0.35">
      <c r="B35" s="165" t="s">
        <v>277</v>
      </c>
      <c r="C35" s="130"/>
      <c r="D35" s="130"/>
      <c r="E35" s="130"/>
      <c r="F35" s="130"/>
      <c r="J35" s="129"/>
    </row>
    <row r="36" spans="2:10" ht="18" customHeight="1" x14ac:dyDescent="0.35">
      <c r="B36" s="165" t="s">
        <v>277</v>
      </c>
      <c r="C36" s="130"/>
      <c r="D36" s="130"/>
      <c r="E36" s="130"/>
      <c r="F36" s="130"/>
      <c r="J36" s="129"/>
    </row>
    <row r="37" spans="2:10" ht="21" customHeight="1" x14ac:dyDescent="0.35">
      <c r="B37" s="164" t="s">
        <v>280</v>
      </c>
      <c r="J37" s="129"/>
    </row>
    <row r="38" spans="2:10" ht="18" customHeight="1" x14ac:dyDescent="0.35">
      <c r="B38" s="165" t="s">
        <v>277</v>
      </c>
      <c r="C38" s="130"/>
      <c r="D38" s="130"/>
      <c r="E38" s="130"/>
      <c r="F38" s="130"/>
      <c r="J38" s="129"/>
    </row>
    <row r="39" spans="2:10" ht="18" customHeight="1" x14ac:dyDescent="0.35">
      <c r="B39" s="165" t="s">
        <v>277</v>
      </c>
      <c r="C39" s="130"/>
      <c r="D39" s="130"/>
      <c r="E39" s="130"/>
      <c r="F39" s="130"/>
      <c r="J39" s="129"/>
    </row>
    <row r="40" spans="2:10" ht="21" customHeight="1" x14ac:dyDescent="0.35">
      <c r="B40" s="164" t="s">
        <v>281</v>
      </c>
      <c r="J40" s="129"/>
    </row>
    <row r="41" spans="2:10" ht="18" customHeight="1" x14ac:dyDescent="0.35">
      <c r="B41" s="165" t="s">
        <v>277</v>
      </c>
      <c r="C41" s="130"/>
      <c r="D41" s="130"/>
      <c r="E41" s="130"/>
      <c r="F41" s="130"/>
      <c r="J41" s="129"/>
    </row>
    <row r="42" spans="2:10" ht="18" customHeight="1" x14ac:dyDescent="0.35">
      <c r="B42" s="165" t="s">
        <v>277</v>
      </c>
      <c r="C42" s="130"/>
      <c r="D42" s="130"/>
      <c r="E42" s="130"/>
      <c r="F42" s="130"/>
      <c r="J42" s="129"/>
    </row>
    <row r="43" spans="2:10" ht="21" customHeight="1" x14ac:dyDescent="0.35">
      <c r="B43" s="164" t="s">
        <v>282</v>
      </c>
      <c r="J43" s="129"/>
    </row>
    <row r="44" spans="2:10" ht="18" customHeight="1" x14ac:dyDescent="0.35">
      <c r="B44" s="165" t="s">
        <v>277</v>
      </c>
      <c r="C44" s="130"/>
      <c r="D44" s="130"/>
      <c r="E44" s="130"/>
      <c r="F44" s="130"/>
      <c r="J44" s="129"/>
    </row>
    <row r="45" spans="2:10" ht="18" customHeight="1" x14ac:dyDescent="0.35">
      <c r="B45" s="165" t="s">
        <v>277</v>
      </c>
      <c r="C45" s="130"/>
      <c r="D45" s="130"/>
      <c r="E45" s="130"/>
      <c r="F45" s="130"/>
      <c r="J45" s="129"/>
    </row>
    <row r="46" spans="2:10" x14ac:dyDescent="0.35">
      <c r="B46" s="139"/>
      <c r="C46" s="140"/>
      <c r="D46" s="140"/>
      <c r="E46" s="140"/>
      <c r="F46" s="140"/>
      <c r="G46" s="140"/>
      <c r="H46" s="140"/>
      <c r="I46" s="140"/>
      <c r="J46" s="141"/>
    </row>
  </sheetData>
  <mergeCells count="6">
    <mergeCell ref="C5:F5"/>
    <mergeCell ref="C7:F7"/>
    <mergeCell ref="C9:F9"/>
    <mergeCell ref="I5:I7"/>
    <mergeCell ref="J5:J7"/>
    <mergeCell ref="H5:H7"/>
  </mergeCells>
  <dataValidations count="2">
    <dataValidation allowBlank="1" showErrorMessage="1" prompt="Target harus terukur (ada nilai &amp; satuan)" sqref="B31 B34 B37 B40 B43"/>
    <dataValidation allowBlank="1" showErrorMessage="1" prompt="Target jelas &amp; fokus" sqref="B28"/>
  </dataValidations>
  <printOptions horizontalCentered="1"/>
  <pageMargins left="0.45" right="0.45" top="0.5" bottom="0.5" header="0.3" footer="0.3"/>
  <pageSetup paperSize="9" orientation="portrait" r:id="rId1"/>
  <headerFooter>
    <oddFooter>&amp;R&amp;"Palatino Linotype,Italic"&amp;10Lampiran Kertas Kerja QCC-QCP Rev.2(191213)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</sheetPr>
  <dimension ref="A1:L21"/>
  <sheetViews>
    <sheetView showGridLines="0" view="pageBreakPreview" zoomScaleNormal="90" zoomScaleSheetLayoutView="100" workbookViewId="0">
      <selection activeCell="K24" sqref="K24"/>
    </sheetView>
  </sheetViews>
  <sheetFormatPr defaultColWidth="9.1796875" defaultRowHeight="14.5" x14ac:dyDescent="0.35"/>
  <cols>
    <col min="1" max="1" width="4.7265625" style="39" customWidth="1"/>
    <col min="2" max="2" width="22.7265625" style="39" customWidth="1"/>
    <col min="3" max="3" width="9" style="39" customWidth="1"/>
    <col min="4" max="4" width="10.1796875" style="39" customWidth="1"/>
    <col min="5" max="5" width="6.1796875" style="39" customWidth="1"/>
    <col min="6" max="6" width="9" style="39" customWidth="1"/>
    <col min="7" max="7" width="10.453125" style="39" customWidth="1"/>
    <col min="8" max="8" width="7.453125" style="39" customWidth="1"/>
    <col min="9" max="9" width="5.7265625" style="39" customWidth="1"/>
    <col min="10" max="11" width="9" style="39" customWidth="1"/>
    <col min="12" max="12" width="8.453125" style="39" customWidth="1"/>
    <col min="13" max="16384" width="9.1796875" style="39"/>
  </cols>
  <sheetData>
    <row r="1" spans="1:12" ht="18.5" x14ac:dyDescent="0.35">
      <c r="A1" s="41"/>
    </row>
    <row r="2" spans="1:12" ht="18.5" x14ac:dyDescent="0.35">
      <c r="B2" s="41" t="s">
        <v>283</v>
      </c>
    </row>
    <row r="4" spans="1:12" x14ac:dyDescent="0.35">
      <c r="E4" s="352" t="s">
        <v>284</v>
      </c>
      <c r="F4" s="352"/>
      <c r="G4" s="352"/>
      <c r="H4" s="352"/>
      <c r="I4" s="352" t="s">
        <v>285</v>
      </c>
      <c r="J4" s="352"/>
      <c r="K4" s="352"/>
      <c r="L4" s="352"/>
    </row>
    <row r="5" spans="1:12" ht="36" customHeight="1" x14ac:dyDescent="0.35">
      <c r="A5" s="546" t="s">
        <v>98</v>
      </c>
      <c r="B5" s="546" t="s">
        <v>99</v>
      </c>
      <c r="C5" s="548" t="s">
        <v>100</v>
      </c>
      <c r="D5" s="550" t="s">
        <v>101</v>
      </c>
      <c r="E5" s="43" t="s">
        <v>102</v>
      </c>
      <c r="F5" s="43" t="s">
        <v>103</v>
      </c>
      <c r="G5" s="100" t="s">
        <v>104</v>
      </c>
      <c r="H5" s="544" t="s">
        <v>105</v>
      </c>
      <c r="I5" s="166" t="s">
        <v>102</v>
      </c>
      <c r="J5" s="166" t="s">
        <v>103</v>
      </c>
      <c r="K5" s="166" t="s">
        <v>286</v>
      </c>
      <c r="L5" s="544" t="s">
        <v>105</v>
      </c>
    </row>
    <row r="6" spans="1:12" ht="36" customHeight="1" x14ac:dyDescent="0.35">
      <c r="A6" s="547"/>
      <c r="B6" s="547"/>
      <c r="C6" s="549"/>
      <c r="D6" s="551"/>
      <c r="E6" s="43" t="s">
        <v>106</v>
      </c>
      <c r="F6" s="43" t="s">
        <v>106</v>
      </c>
      <c r="G6" s="43" t="s">
        <v>106</v>
      </c>
      <c r="H6" s="545"/>
      <c r="I6" s="166" t="s">
        <v>106</v>
      </c>
      <c r="J6" s="166" t="s">
        <v>106</v>
      </c>
      <c r="K6" s="166" t="s">
        <v>106</v>
      </c>
      <c r="L6" s="545"/>
    </row>
    <row r="7" spans="1:12" ht="21" customHeight="1" x14ac:dyDescent="0.35">
      <c r="A7" s="167" t="s">
        <v>26</v>
      </c>
      <c r="B7" s="51" t="str">
        <f>'Peta Kemampuan QCC'!B7</f>
        <v>Aulia</v>
      </c>
      <c r="C7" s="115">
        <f>'Peta Kemampuan QCC'!C7</f>
        <v>0</v>
      </c>
      <c r="D7" s="115">
        <f>'Peta Kemampuan QCC'!D7</f>
        <v>0</v>
      </c>
      <c r="E7" s="115">
        <f>'Peta Kemampuan QCC'!E7</f>
        <v>0</v>
      </c>
      <c r="F7" s="115">
        <f>'Peta Kemampuan QCC'!F7</f>
        <v>0</v>
      </c>
      <c r="G7" s="115">
        <f>'Peta Kemampuan QCC'!G7</f>
        <v>0</v>
      </c>
      <c r="H7" s="52">
        <f>IF(E7="","",SUM(E7:G7)*5)</f>
        <v>0</v>
      </c>
      <c r="I7" s="45"/>
      <c r="J7" s="45"/>
      <c r="K7" s="45"/>
      <c r="L7" s="52" t="str">
        <f>IF(I7="","",SUM(I7:K7)*5)</f>
        <v/>
      </c>
    </row>
    <row r="8" spans="1:12" ht="21" customHeight="1" x14ac:dyDescent="0.35">
      <c r="A8" s="167" t="s">
        <v>27</v>
      </c>
      <c r="B8" s="51" t="str">
        <f>'Peta Kemampuan QCC'!B8</f>
        <v>b</v>
      </c>
      <c r="C8" s="115">
        <f>'Peta Kemampuan QCC'!C8</f>
        <v>0</v>
      </c>
      <c r="D8" s="115">
        <f>'Peta Kemampuan QCC'!D8</f>
        <v>0</v>
      </c>
      <c r="E8" s="115">
        <f>'Peta Kemampuan QCC'!E8</f>
        <v>0</v>
      </c>
      <c r="F8" s="115">
        <f>'Peta Kemampuan QCC'!F8</f>
        <v>0</v>
      </c>
      <c r="G8" s="115">
        <f>'Peta Kemampuan QCC'!G8</f>
        <v>0</v>
      </c>
      <c r="H8" s="52">
        <f t="shared" ref="H8:H16" si="0">IF(E8="","",SUM(E8:G8)*5)</f>
        <v>0</v>
      </c>
      <c r="I8" s="45"/>
      <c r="J8" s="45"/>
      <c r="K8" s="45"/>
      <c r="L8" s="52" t="str">
        <f t="shared" ref="L8:L16" si="1">IF(I8="","",SUM(I8:K8)*5)</f>
        <v/>
      </c>
    </row>
    <row r="9" spans="1:12" ht="21" customHeight="1" x14ac:dyDescent="0.35">
      <c r="A9" s="167" t="s">
        <v>28</v>
      </c>
      <c r="B9" s="51" t="str">
        <f>'Peta Kemampuan QCC'!B9</f>
        <v>Mitra</v>
      </c>
      <c r="C9" s="115">
        <f>'Peta Kemampuan QCC'!C9</f>
        <v>0</v>
      </c>
      <c r="D9" s="115">
        <f>'Peta Kemampuan QCC'!D9</f>
        <v>0</v>
      </c>
      <c r="E9" s="115">
        <f>'Peta Kemampuan QCC'!E9</f>
        <v>0</v>
      </c>
      <c r="F9" s="115">
        <f>'Peta Kemampuan QCC'!F9</f>
        <v>0</v>
      </c>
      <c r="G9" s="115">
        <f>'Peta Kemampuan QCC'!G9</f>
        <v>0</v>
      </c>
      <c r="H9" s="52">
        <f t="shared" si="0"/>
        <v>0</v>
      </c>
      <c r="I9" s="45"/>
      <c r="J9" s="45"/>
      <c r="K9" s="45"/>
      <c r="L9" s="52" t="str">
        <f t="shared" si="1"/>
        <v/>
      </c>
    </row>
    <row r="10" spans="1:12" ht="21" customHeight="1" x14ac:dyDescent="0.35">
      <c r="A10" s="167" t="s">
        <v>29</v>
      </c>
      <c r="B10" s="51" t="str">
        <f>'Peta Kemampuan QCC'!B10</f>
        <v xml:space="preserve">Anugrah Sandi </v>
      </c>
      <c r="C10" s="115">
        <f>'Peta Kemampuan QCC'!C10</f>
        <v>0</v>
      </c>
      <c r="D10" s="115">
        <f>'Peta Kemampuan QCC'!D10</f>
        <v>0</v>
      </c>
      <c r="E10" s="115">
        <f>'Peta Kemampuan QCC'!E10</f>
        <v>0</v>
      </c>
      <c r="F10" s="115">
        <f>'Peta Kemampuan QCC'!F10</f>
        <v>0</v>
      </c>
      <c r="G10" s="115">
        <f>'Peta Kemampuan QCC'!G10</f>
        <v>0</v>
      </c>
      <c r="H10" s="52">
        <f t="shared" si="0"/>
        <v>0</v>
      </c>
      <c r="I10" s="45"/>
      <c r="J10" s="45"/>
      <c r="K10" s="45"/>
      <c r="L10" s="52" t="str">
        <f t="shared" si="1"/>
        <v/>
      </c>
    </row>
    <row r="11" spans="1:12" ht="21" customHeight="1" x14ac:dyDescent="0.35">
      <c r="A11" s="167" t="s">
        <v>30</v>
      </c>
      <c r="B11" s="51" t="str">
        <f>'Peta Kemampuan QCC'!B11</f>
        <v>Site Mill</v>
      </c>
      <c r="C11" s="115">
        <f>'Peta Kemampuan QCC'!C11</f>
        <v>0</v>
      </c>
      <c r="D11" s="115">
        <f>'Peta Kemampuan QCC'!D11</f>
        <v>0</v>
      </c>
      <c r="E11" s="115">
        <f>'Peta Kemampuan QCC'!E11</f>
        <v>0</v>
      </c>
      <c r="F11" s="115">
        <f>'Peta Kemampuan QCC'!F11</f>
        <v>0</v>
      </c>
      <c r="G11" s="115">
        <f>'Peta Kemampuan QCC'!G11</f>
        <v>0</v>
      </c>
      <c r="H11" s="52">
        <f t="shared" si="0"/>
        <v>0</v>
      </c>
      <c r="I11" s="45"/>
      <c r="J11" s="45"/>
      <c r="K11" s="45"/>
      <c r="L11" s="52" t="str">
        <f t="shared" si="1"/>
        <v/>
      </c>
    </row>
    <row r="12" spans="1:12" ht="21" customHeight="1" x14ac:dyDescent="0.35">
      <c r="A12" s="167" t="s">
        <v>32</v>
      </c>
      <c r="B12" s="51" t="str">
        <f>'Peta Kemampuan QCC'!B12</f>
        <v>CSR Site</v>
      </c>
      <c r="C12" s="115">
        <f>'Peta Kemampuan QCC'!C12</f>
        <v>0</v>
      </c>
      <c r="D12" s="115">
        <f>'Peta Kemampuan QCC'!D12</f>
        <v>0</v>
      </c>
      <c r="E12" s="115">
        <f>'Peta Kemampuan QCC'!E12</f>
        <v>0</v>
      </c>
      <c r="F12" s="115">
        <f>'Peta Kemampuan QCC'!F12</f>
        <v>0</v>
      </c>
      <c r="G12" s="115">
        <f>'Peta Kemampuan QCC'!G12</f>
        <v>0</v>
      </c>
      <c r="H12" s="52">
        <f t="shared" si="0"/>
        <v>0</v>
      </c>
      <c r="I12" s="45"/>
      <c r="J12" s="45"/>
      <c r="K12" s="45"/>
      <c r="L12" s="52" t="str">
        <f t="shared" si="1"/>
        <v/>
      </c>
    </row>
    <row r="13" spans="1:12" ht="21" customHeight="1" x14ac:dyDescent="0.35">
      <c r="A13" s="167" t="s">
        <v>107</v>
      </c>
      <c r="B13" s="51" t="str">
        <f>'Peta Kemampuan QCC'!B13</f>
        <v>D</v>
      </c>
      <c r="C13" s="115">
        <f>'Peta Kemampuan QCC'!C13</f>
        <v>0</v>
      </c>
      <c r="D13" s="115">
        <f>'Peta Kemampuan QCC'!D13</f>
        <v>0</v>
      </c>
      <c r="E13" s="115">
        <f>'Peta Kemampuan QCC'!E13</f>
        <v>0</v>
      </c>
      <c r="F13" s="115">
        <f>'Peta Kemampuan QCC'!F13</f>
        <v>0</v>
      </c>
      <c r="G13" s="115">
        <f>'Peta Kemampuan QCC'!G13</f>
        <v>0</v>
      </c>
      <c r="H13" s="52">
        <f t="shared" si="0"/>
        <v>0</v>
      </c>
      <c r="I13" s="45"/>
      <c r="J13" s="45"/>
      <c r="K13" s="45"/>
      <c r="L13" s="52" t="str">
        <f t="shared" si="1"/>
        <v/>
      </c>
    </row>
    <row r="14" spans="1:12" ht="21" customHeight="1" x14ac:dyDescent="0.35">
      <c r="A14" s="167" t="s">
        <v>108</v>
      </c>
      <c r="B14" s="51" t="str">
        <f>'Peta Kemampuan QCC'!B14</f>
        <v>E</v>
      </c>
      <c r="C14" s="115">
        <f>'Peta Kemampuan QCC'!C14</f>
        <v>0</v>
      </c>
      <c r="D14" s="115">
        <f>'Peta Kemampuan QCC'!D14</f>
        <v>0</v>
      </c>
      <c r="E14" s="115">
        <f>'Peta Kemampuan QCC'!E14</f>
        <v>0</v>
      </c>
      <c r="F14" s="115">
        <f>'Peta Kemampuan QCC'!F14</f>
        <v>0</v>
      </c>
      <c r="G14" s="115">
        <f>'Peta Kemampuan QCC'!G14</f>
        <v>0</v>
      </c>
      <c r="H14" s="52">
        <f t="shared" si="0"/>
        <v>0</v>
      </c>
      <c r="I14" s="45"/>
      <c r="J14" s="45"/>
      <c r="K14" s="45"/>
      <c r="L14" s="52" t="str">
        <f t="shared" si="1"/>
        <v/>
      </c>
    </row>
    <row r="15" spans="1:12" ht="21" customHeight="1" x14ac:dyDescent="0.35">
      <c r="A15" s="167" t="s">
        <v>109</v>
      </c>
      <c r="B15" s="51" t="str">
        <f>'Peta Kemampuan QCC'!B15</f>
        <v>F</v>
      </c>
      <c r="C15" s="115">
        <f>'Peta Kemampuan QCC'!C15</f>
        <v>0</v>
      </c>
      <c r="D15" s="115">
        <f>'Peta Kemampuan QCC'!D15</f>
        <v>0</v>
      </c>
      <c r="E15" s="115">
        <f>'Peta Kemampuan QCC'!E15</f>
        <v>0</v>
      </c>
      <c r="F15" s="115">
        <f>'Peta Kemampuan QCC'!F15</f>
        <v>0</v>
      </c>
      <c r="G15" s="115">
        <f>'Peta Kemampuan QCC'!G15</f>
        <v>0</v>
      </c>
      <c r="H15" s="52">
        <f t="shared" si="0"/>
        <v>0</v>
      </c>
      <c r="I15" s="45"/>
      <c r="J15" s="45"/>
      <c r="K15" s="45"/>
      <c r="L15" s="52" t="str">
        <f t="shared" si="1"/>
        <v/>
      </c>
    </row>
    <row r="16" spans="1:12" ht="21" customHeight="1" x14ac:dyDescent="0.35">
      <c r="A16" s="167" t="s">
        <v>287</v>
      </c>
      <c r="B16" s="51">
        <f>'Peta Kemampuan QCC'!B16</f>
        <v>0</v>
      </c>
      <c r="C16" s="115" t="e">
        <f>'Peta Kemampuan QCC'!#REF!</f>
        <v>#REF!</v>
      </c>
      <c r="D16" s="115" t="e">
        <f>'Peta Kemampuan QCC'!#REF!</f>
        <v>#REF!</v>
      </c>
      <c r="E16" s="115" t="e">
        <f>'Peta Kemampuan QCC'!#REF!</f>
        <v>#REF!</v>
      </c>
      <c r="F16" s="115" t="e">
        <f>'Peta Kemampuan QCC'!#REF!</f>
        <v>#REF!</v>
      </c>
      <c r="G16" s="115" t="e">
        <f>'Peta Kemampuan QCC'!#REF!</f>
        <v>#REF!</v>
      </c>
      <c r="H16" s="52" t="e">
        <f t="shared" si="0"/>
        <v>#REF!</v>
      </c>
      <c r="I16" s="45"/>
      <c r="J16" s="45"/>
      <c r="K16" s="45"/>
      <c r="L16" s="52" t="str">
        <f t="shared" si="1"/>
        <v/>
      </c>
    </row>
    <row r="17" spans="1:12" ht="21" customHeight="1" x14ac:dyDescent="0.35">
      <c r="A17" s="378" t="s">
        <v>110</v>
      </c>
      <c r="B17" s="321"/>
      <c r="C17" s="169" t="e">
        <f>IF(C7="","",AVERAGE(C7:C16))</f>
        <v>#REF!</v>
      </c>
      <c r="D17" s="115" t="e">
        <f>IF(D7="","",AVERAGE(D7:D16))</f>
        <v>#REF!</v>
      </c>
      <c r="E17" s="115" t="e">
        <f t="shared" ref="E17:F17" si="2">IF(E7="","",AVERAGE(E7:E16))</f>
        <v>#REF!</v>
      </c>
      <c r="F17" s="115" t="e">
        <f t="shared" si="2"/>
        <v>#REF!</v>
      </c>
      <c r="G17" s="115" t="e">
        <f t="shared" ref="G17" si="3">IF(G7="","",AVERAGE(G7:G16))</f>
        <v>#REF!</v>
      </c>
      <c r="H17" s="52" t="e">
        <f>IF(E17="","",AVERAGE(E17:F17))</f>
        <v>#REF!</v>
      </c>
      <c r="I17" s="115" t="str">
        <f>IF(I7=0,"",AVERAGE(I7:I16))</f>
        <v/>
      </c>
      <c r="J17" s="115" t="str">
        <f>IF(J7=0,"",AVERAGE(J7:J16))</f>
        <v/>
      </c>
      <c r="K17" s="115" t="str">
        <f>IF(K7=0,"",AVERAGE(K7:K16))</f>
        <v/>
      </c>
      <c r="L17" s="52" t="str">
        <f>IF(I17="","",AVERAGE(I17:J17))</f>
        <v/>
      </c>
    </row>
    <row r="18" spans="1:12" ht="21.75" customHeight="1" x14ac:dyDescent="0.35">
      <c r="A18" s="168" t="s">
        <v>288</v>
      </c>
    </row>
    <row r="21" spans="1:12" x14ac:dyDescent="0.35">
      <c r="B21" s="319"/>
      <c r="C21" s="319"/>
      <c r="D21" s="319"/>
    </row>
  </sheetData>
  <mergeCells count="10">
    <mergeCell ref="A17:B17"/>
    <mergeCell ref="B21:D21"/>
    <mergeCell ref="E4:H4"/>
    <mergeCell ref="I4:L4"/>
    <mergeCell ref="H5:H6"/>
    <mergeCell ref="L5:L6"/>
    <mergeCell ref="A5:A6"/>
    <mergeCell ref="B5:B6"/>
    <mergeCell ref="C5:C6"/>
    <mergeCell ref="D5:D6"/>
  </mergeCells>
  <dataValidations count="2">
    <dataValidation allowBlank="1" showInputMessage="1" showErrorMessage="1" prompt="Isilah dengan angka_x000a_skala 1 - 10_x000a_(sesuai dengan test yang dilakukan oleh Fasilitator)" sqref="H5 L5"/>
    <dataValidation allowBlank="1" showInputMessage="1" showErrorMessage="1" prompt="Diisi nama-nama" sqref="B5"/>
  </dataValidations>
  <printOptions horizontalCentered="1" verticalCentered="1"/>
  <pageMargins left="0.4" right="0.4" top="0.5" bottom="0.5" header="0.3" footer="0.3"/>
  <pageSetup paperSize="9" scale="85" orientation="portrait" r:id="rId1"/>
  <headerFooter>
    <oddFooter>&amp;R&amp;"Palatino Linotype,Italic"&amp;10Lampiran Kertas Kerja QCC-QCP Rev.2(191213)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00B050"/>
  </sheetPr>
  <dimension ref="A1:L21"/>
  <sheetViews>
    <sheetView showGridLines="0" view="pageBreakPreview" zoomScaleNormal="90" zoomScaleSheetLayoutView="100" workbookViewId="0">
      <selection activeCell="J25" sqref="J25"/>
    </sheetView>
  </sheetViews>
  <sheetFormatPr defaultColWidth="9.1796875" defaultRowHeight="14.5" x14ac:dyDescent="0.35"/>
  <cols>
    <col min="1" max="1" width="4.7265625" style="39" customWidth="1"/>
    <col min="2" max="2" width="22.7265625" style="39" customWidth="1"/>
    <col min="3" max="3" width="9" style="39" customWidth="1"/>
    <col min="4" max="4" width="10.1796875" style="39" customWidth="1"/>
    <col min="5" max="5" width="6.1796875" style="39" customWidth="1"/>
    <col min="6" max="7" width="9" style="39" customWidth="1"/>
    <col min="8" max="8" width="7.453125" style="39" customWidth="1"/>
    <col min="9" max="9" width="5.7265625" style="39" customWidth="1"/>
    <col min="10" max="11" width="9" style="39" customWidth="1"/>
    <col min="12" max="12" width="8.453125" style="39" customWidth="1"/>
    <col min="13" max="16384" width="9.1796875" style="39"/>
  </cols>
  <sheetData>
    <row r="1" spans="1:12" ht="18.5" x14ac:dyDescent="0.35">
      <c r="A1" s="41"/>
    </row>
    <row r="2" spans="1:12" ht="18.5" x14ac:dyDescent="0.35">
      <c r="B2" s="41" t="s">
        <v>289</v>
      </c>
    </row>
    <row r="4" spans="1:12" x14ac:dyDescent="0.35">
      <c r="E4" s="352" t="s">
        <v>284</v>
      </c>
      <c r="F4" s="352"/>
      <c r="G4" s="352"/>
      <c r="H4" s="352"/>
      <c r="I4" s="352" t="s">
        <v>285</v>
      </c>
      <c r="J4" s="352"/>
      <c r="K4" s="352"/>
      <c r="L4" s="352"/>
    </row>
    <row r="5" spans="1:12" ht="36" customHeight="1" x14ac:dyDescent="0.35">
      <c r="A5" s="546" t="s">
        <v>98</v>
      </c>
      <c r="B5" s="546" t="s">
        <v>99</v>
      </c>
      <c r="C5" s="548" t="s">
        <v>100</v>
      </c>
      <c r="D5" s="550" t="s">
        <v>101</v>
      </c>
      <c r="E5" s="43" t="s">
        <v>102</v>
      </c>
      <c r="F5" s="43" t="s">
        <v>103</v>
      </c>
      <c r="G5" s="100" t="s">
        <v>104</v>
      </c>
      <c r="H5" s="544" t="s">
        <v>105</v>
      </c>
      <c r="I5" s="166" t="s">
        <v>102</v>
      </c>
      <c r="J5" s="166" t="s">
        <v>103</v>
      </c>
      <c r="K5" s="166" t="s">
        <v>286</v>
      </c>
      <c r="L5" s="544" t="s">
        <v>105</v>
      </c>
    </row>
    <row r="6" spans="1:12" ht="36" customHeight="1" x14ac:dyDescent="0.35">
      <c r="A6" s="547"/>
      <c r="B6" s="547"/>
      <c r="C6" s="549"/>
      <c r="D6" s="551"/>
      <c r="E6" s="43" t="s">
        <v>106</v>
      </c>
      <c r="F6" s="43" t="s">
        <v>106</v>
      </c>
      <c r="G6" s="43" t="s">
        <v>106</v>
      </c>
      <c r="H6" s="545"/>
      <c r="I6" s="166" t="s">
        <v>106</v>
      </c>
      <c r="J6" s="166" t="s">
        <v>106</v>
      </c>
      <c r="K6" s="166" t="s">
        <v>106</v>
      </c>
      <c r="L6" s="545"/>
    </row>
    <row r="7" spans="1:12" ht="21" customHeight="1" x14ac:dyDescent="0.35">
      <c r="A7" s="167" t="s">
        <v>26</v>
      </c>
      <c r="B7" s="51" t="str">
        <f>'Peta Kemampuan QCC'!B7</f>
        <v>Aulia</v>
      </c>
      <c r="C7" s="115">
        <f>'Peta Kemampuan QCC'!C7</f>
        <v>0</v>
      </c>
      <c r="D7" s="115">
        <f>'Peta Kemampuan QCC'!D7</f>
        <v>0</v>
      </c>
      <c r="E7" s="115">
        <f>'Peta Kemampuan QCC'!E7</f>
        <v>0</v>
      </c>
      <c r="F7" s="115">
        <f>'Peta Kemampuan QCC'!F7</f>
        <v>0</v>
      </c>
      <c r="G7" s="115">
        <f>'Peta Kemampuan QCC'!G7</f>
        <v>0</v>
      </c>
      <c r="H7" s="52">
        <f>IF(E7="","",SUM(E7:G7)*5)</f>
        <v>0</v>
      </c>
      <c r="I7" s="45"/>
      <c r="J7" s="45"/>
      <c r="K7" s="45"/>
      <c r="L7" s="52" t="str">
        <f>IF(I7="","",SUM(I7:K7)*5)</f>
        <v/>
      </c>
    </row>
    <row r="8" spans="1:12" ht="21" customHeight="1" x14ac:dyDescent="0.35">
      <c r="A8" s="167" t="s">
        <v>27</v>
      </c>
      <c r="B8" s="51" t="str">
        <f>'Peta Kemampuan QCC'!B8</f>
        <v>b</v>
      </c>
      <c r="C8" s="115">
        <f>'Peta Kemampuan QCC'!C8</f>
        <v>0</v>
      </c>
      <c r="D8" s="115">
        <f>'Peta Kemampuan QCC'!D8</f>
        <v>0</v>
      </c>
      <c r="E8" s="115">
        <f>'Peta Kemampuan QCC'!E8</f>
        <v>0</v>
      </c>
      <c r="F8" s="115">
        <f>'Peta Kemampuan QCC'!F8</f>
        <v>0</v>
      </c>
      <c r="G8" s="115">
        <f>'Peta Kemampuan QCC'!G8</f>
        <v>0</v>
      </c>
      <c r="H8" s="52">
        <f t="shared" ref="H8:H16" si="0">IF(E8="","",SUM(E8:G8)*5)</f>
        <v>0</v>
      </c>
      <c r="I8" s="45"/>
      <c r="J8" s="45"/>
      <c r="K8" s="45"/>
      <c r="L8" s="52" t="str">
        <f t="shared" ref="L8:L16" si="1">IF(I8="","",SUM(I8:K8)*5)</f>
        <v/>
      </c>
    </row>
    <row r="9" spans="1:12" ht="21" customHeight="1" x14ac:dyDescent="0.35">
      <c r="A9" s="167" t="s">
        <v>28</v>
      </c>
      <c r="B9" s="51" t="str">
        <f>'Peta Kemampuan QCC'!B9</f>
        <v>Mitra</v>
      </c>
      <c r="C9" s="115">
        <f>'Peta Kemampuan QCC'!C9</f>
        <v>0</v>
      </c>
      <c r="D9" s="115">
        <f>'Peta Kemampuan QCC'!D9</f>
        <v>0</v>
      </c>
      <c r="E9" s="115">
        <f>'Peta Kemampuan QCC'!E9</f>
        <v>0</v>
      </c>
      <c r="F9" s="115">
        <f>'Peta Kemampuan QCC'!F9</f>
        <v>0</v>
      </c>
      <c r="G9" s="115">
        <f>'Peta Kemampuan QCC'!G9</f>
        <v>0</v>
      </c>
      <c r="H9" s="52">
        <f t="shared" si="0"/>
        <v>0</v>
      </c>
      <c r="I9" s="45"/>
      <c r="J9" s="45"/>
      <c r="K9" s="45"/>
      <c r="L9" s="52" t="str">
        <f t="shared" si="1"/>
        <v/>
      </c>
    </row>
    <row r="10" spans="1:12" ht="21" customHeight="1" x14ac:dyDescent="0.35">
      <c r="A10" s="167" t="s">
        <v>29</v>
      </c>
      <c r="B10" s="51" t="str">
        <f>'Peta Kemampuan QCC'!B10</f>
        <v xml:space="preserve">Anugrah Sandi </v>
      </c>
      <c r="C10" s="115">
        <f>'Peta Kemampuan QCC'!C10</f>
        <v>0</v>
      </c>
      <c r="D10" s="115">
        <f>'Peta Kemampuan QCC'!D10</f>
        <v>0</v>
      </c>
      <c r="E10" s="115">
        <f>'Peta Kemampuan QCC'!E10</f>
        <v>0</v>
      </c>
      <c r="F10" s="115">
        <f>'Peta Kemampuan QCC'!F10</f>
        <v>0</v>
      </c>
      <c r="G10" s="115">
        <f>'Peta Kemampuan QCC'!G10</f>
        <v>0</v>
      </c>
      <c r="H10" s="52">
        <f t="shared" si="0"/>
        <v>0</v>
      </c>
      <c r="I10" s="45"/>
      <c r="J10" s="45"/>
      <c r="K10" s="45"/>
      <c r="L10" s="52" t="str">
        <f t="shared" si="1"/>
        <v/>
      </c>
    </row>
    <row r="11" spans="1:12" ht="21" customHeight="1" x14ac:dyDescent="0.35">
      <c r="A11" s="167" t="s">
        <v>30</v>
      </c>
      <c r="B11" s="51" t="str">
        <f>'Peta Kemampuan QCC'!B11</f>
        <v>Site Mill</v>
      </c>
      <c r="C11" s="115">
        <f>'Peta Kemampuan QCC'!C11</f>
        <v>0</v>
      </c>
      <c r="D11" s="115">
        <f>'Peta Kemampuan QCC'!D11</f>
        <v>0</v>
      </c>
      <c r="E11" s="115">
        <f>'Peta Kemampuan QCC'!E11</f>
        <v>0</v>
      </c>
      <c r="F11" s="115">
        <f>'Peta Kemampuan QCC'!F11</f>
        <v>0</v>
      </c>
      <c r="G11" s="115">
        <f>'Peta Kemampuan QCC'!G11</f>
        <v>0</v>
      </c>
      <c r="H11" s="52">
        <f t="shared" si="0"/>
        <v>0</v>
      </c>
      <c r="I11" s="45"/>
      <c r="J11" s="45"/>
      <c r="K11" s="45"/>
      <c r="L11" s="52" t="str">
        <f t="shared" si="1"/>
        <v/>
      </c>
    </row>
    <row r="12" spans="1:12" ht="21" customHeight="1" x14ac:dyDescent="0.35">
      <c r="A12" s="167" t="s">
        <v>32</v>
      </c>
      <c r="B12" s="51" t="str">
        <f>'Peta Kemampuan QCC'!B12</f>
        <v>CSR Site</v>
      </c>
      <c r="C12" s="115">
        <f>'Peta Kemampuan QCC'!C12</f>
        <v>0</v>
      </c>
      <c r="D12" s="115">
        <f>'Peta Kemampuan QCC'!D12</f>
        <v>0</v>
      </c>
      <c r="E12" s="115">
        <f>'Peta Kemampuan QCC'!E12</f>
        <v>0</v>
      </c>
      <c r="F12" s="115">
        <f>'Peta Kemampuan QCC'!F12</f>
        <v>0</v>
      </c>
      <c r="G12" s="115">
        <f>'Peta Kemampuan QCC'!G12</f>
        <v>0</v>
      </c>
      <c r="H12" s="52">
        <f t="shared" si="0"/>
        <v>0</v>
      </c>
      <c r="I12" s="45"/>
      <c r="J12" s="45"/>
      <c r="K12" s="45"/>
      <c r="L12" s="52" t="str">
        <f t="shared" si="1"/>
        <v/>
      </c>
    </row>
    <row r="13" spans="1:12" ht="21" customHeight="1" x14ac:dyDescent="0.35">
      <c r="A13" s="167" t="s">
        <v>107</v>
      </c>
      <c r="B13" s="51" t="str">
        <f>'Peta Kemampuan QCC'!B13</f>
        <v>D</v>
      </c>
      <c r="C13" s="115">
        <f>'Peta Kemampuan QCC'!C13</f>
        <v>0</v>
      </c>
      <c r="D13" s="115">
        <f>'Peta Kemampuan QCC'!D13</f>
        <v>0</v>
      </c>
      <c r="E13" s="115">
        <f>'Peta Kemampuan QCC'!E13</f>
        <v>0</v>
      </c>
      <c r="F13" s="115">
        <f>'Peta Kemampuan QCC'!F13</f>
        <v>0</v>
      </c>
      <c r="G13" s="115">
        <f>'Peta Kemampuan QCC'!G13</f>
        <v>0</v>
      </c>
      <c r="H13" s="52">
        <f t="shared" si="0"/>
        <v>0</v>
      </c>
      <c r="I13" s="45"/>
      <c r="J13" s="45"/>
      <c r="K13" s="45"/>
      <c r="L13" s="52" t="str">
        <f t="shared" si="1"/>
        <v/>
      </c>
    </row>
    <row r="14" spans="1:12" ht="21" customHeight="1" x14ac:dyDescent="0.35">
      <c r="A14" s="167" t="s">
        <v>108</v>
      </c>
      <c r="B14" s="51" t="str">
        <f>'Peta Kemampuan QCC'!B14</f>
        <v>E</v>
      </c>
      <c r="C14" s="115">
        <f>'Peta Kemampuan QCC'!C14</f>
        <v>0</v>
      </c>
      <c r="D14" s="115">
        <f>'Peta Kemampuan QCC'!D14</f>
        <v>0</v>
      </c>
      <c r="E14" s="115">
        <f>'Peta Kemampuan QCC'!E14</f>
        <v>0</v>
      </c>
      <c r="F14" s="115">
        <f>'Peta Kemampuan QCC'!F14</f>
        <v>0</v>
      </c>
      <c r="G14" s="115">
        <f>'Peta Kemampuan QCC'!G14</f>
        <v>0</v>
      </c>
      <c r="H14" s="52">
        <f t="shared" si="0"/>
        <v>0</v>
      </c>
      <c r="I14" s="45"/>
      <c r="J14" s="45"/>
      <c r="K14" s="45"/>
      <c r="L14" s="52" t="str">
        <f t="shared" si="1"/>
        <v/>
      </c>
    </row>
    <row r="15" spans="1:12" ht="21" customHeight="1" x14ac:dyDescent="0.35">
      <c r="A15" s="167" t="s">
        <v>109</v>
      </c>
      <c r="B15" s="51" t="str">
        <f>'Peta Kemampuan QCC'!B15</f>
        <v>F</v>
      </c>
      <c r="C15" s="115">
        <f>'Peta Kemampuan QCC'!C15</f>
        <v>0</v>
      </c>
      <c r="D15" s="115">
        <f>'Peta Kemampuan QCC'!D15</f>
        <v>0</v>
      </c>
      <c r="E15" s="115">
        <f>'Peta Kemampuan QCC'!E15</f>
        <v>0</v>
      </c>
      <c r="F15" s="115">
        <f>'Peta Kemampuan QCC'!F15</f>
        <v>0</v>
      </c>
      <c r="G15" s="115">
        <f>'Peta Kemampuan QCC'!G15</f>
        <v>0</v>
      </c>
      <c r="H15" s="52">
        <f t="shared" si="0"/>
        <v>0</v>
      </c>
      <c r="I15" s="45"/>
      <c r="J15" s="45"/>
      <c r="K15" s="45"/>
      <c r="L15" s="52" t="str">
        <f t="shared" si="1"/>
        <v/>
      </c>
    </row>
    <row r="16" spans="1:12" ht="21" customHeight="1" x14ac:dyDescent="0.35">
      <c r="A16" s="167" t="s">
        <v>287</v>
      </c>
      <c r="B16" s="51">
        <f>'Peta Kemampuan QCC'!B16</f>
        <v>0</v>
      </c>
      <c r="C16" s="115" t="e">
        <f>'Peta Kemampuan QCC'!#REF!</f>
        <v>#REF!</v>
      </c>
      <c r="D16" s="115" t="e">
        <f>'Peta Kemampuan QCC'!#REF!</f>
        <v>#REF!</v>
      </c>
      <c r="E16" s="115" t="e">
        <f>'Peta Kemampuan QCC'!#REF!</f>
        <v>#REF!</v>
      </c>
      <c r="F16" s="115" t="e">
        <f>'Peta Kemampuan QCC'!#REF!</f>
        <v>#REF!</v>
      </c>
      <c r="G16" s="115" t="e">
        <f>'Peta Kemampuan QCC'!#REF!</f>
        <v>#REF!</v>
      </c>
      <c r="H16" s="52" t="e">
        <f t="shared" si="0"/>
        <v>#REF!</v>
      </c>
      <c r="I16" s="45"/>
      <c r="J16" s="45"/>
      <c r="K16" s="45"/>
      <c r="L16" s="52" t="str">
        <f t="shared" si="1"/>
        <v/>
      </c>
    </row>
    <row r="17" spans="1:12" ht="21" customHeight="1" x14ac:dyDescent="0.35">
      <c r="A17" s="378" t="s">
        <v>110</v>
      </c>
      <c r="B17" s="321"/>
      <c r="C17" s="169" t="e">
        <f>IF(C7="","",AVERAGE(C7:C16))</f>
        <v>#REF!</v>
      </c>
      <c r="D17" s="115" t="e">
        <f>IF(D7="","",AVERAGE(D7:D16))</f>
        <v>#REF!</v>
      </c>
      <c r="E17" s="115" t="e">
        <f t="shared" ref="E17:G17" si="2">IF(E7="","",AVERAGE(E7:E16))</f>
        <v>#REF!</v>
      </c>
      <c r="F17" s="115" t="e">
        <f t="shared" si="2"/>
        <v>#REF!</v>
      </c>
      <c r="G17" s="115" t="e">
        <f t="shared" si="2"/>
        <v>#REF!</v>
      </c>
      <c r="H17" s="52" t="e">
        <f>IF(E17="","",AVERAGE(E17:F17))</f>
        <v>#REF!</v>
      </c>
      <c r="I17" s="115" t="str">
        <f>IF(I7=0,"",AVERAGE(I7:I16))</f>
        <v/>
      </c>
      <c r="J17" s="115" t="str">
        <f>IF(J7=0,"",AVERAGE(J7:J16))</f>
        <v/>
      </c>
      <c r="K17" s="115" t="str">
        <f>IF(K7=0,"",AVERAGE(K7:K16))</f>
        <v/>
      </c>
      <c r="L17" s="52" t="str">
        <f>IF(I17="","",AVERAGE(I17:J17))</f>
        <v/>
      </c>
    </row>
    <row r="18" spans="1:12" ht="21.75" customHeight="1" x14ac:dyDescent="0.35">
      <c r="A18" s="168" t="s">
        <v>288</v>
      </c>
    </row>
    <row r="21" spans="1:12" x14ac:dyDescent="0.35">
      <c r="B21" s="319"/>
      <c r="C21" s="319"/>
      <c r="D21" s="319"/>
    </row>
  </sheetData>
  <mergeCells count="10">
    <mergeCell ref="A17:B17"/>
    <mergeCell ref="B21:D21"/>
    <mergeCell ref="E4:H4"/>
    <mergeCell ref="I4:L4"/>
    <mergeCell ref="A5:A6"/>
    <mergeCell ref="B5:B6"/>
    <mergeCell ref="C5:C6"/>
    <mergeCell ref="D5:D6"/>
    <mergeCell ref="H5:H6"/>
    <mergeCell ref="L5:L6"/>
  </mergeCells>
  <dataValidations count="2">
    <dataValidation allowBlank="1" showInputMessage="1" showErrorMessage="1" prompt="Diisi nama-nama" sqref="B5"/>
    <dataValidation allowBlank="1" showInputMessage="1" showErrorMessage="1" prompt="Isilah dengan angka_x000a_skala 1 - 10_x000a_(sesuai dengan test yang dilakukan oleh Fasilitator)" sqref="H5 L5"/>
  </dataValidations>
  <printOptions horizontalCentered="1" verticalCentered="1"/>
  <pageMargins left="0.4" right="0.4" top="0.5" bottom="0.5" header="0.3" footer="0.3"/>
  <pageSetup paperSize="9" scale="85" orientation="portrait" r:id="rId1"/>
  <headerFooter>
    <oddFooter>&amp;R&amp;"Palatino Linotype,Italic"&amp;10Lampiran Kertas Kerja QCC-QCP Rev.2(191213)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2:C21"/>
  <sheetViews>
    <sheetView workbookViewId="0">
      <selection activeCell="I19" sqref="I19"/>
    </sheetView>
  </sheetViews>
  <sheetFormatPr defaultColWidth="8.7265625" defaultRowHeight="14.5" x14ac:dyDescent="0.35"/>
  <cols>
    <col min="1" max="1" width="26.1796875" bestFit="1" customWidth="1"/>
    <col min="2" max="2" width="10.7265625" customWidth="1"/>
  </cols>
  <sheetData>
    <row r="2" spans="1:3" x14ac:dyDescent="0.35">
      <c r="A2" t="s">
        <v>290</v>
      </c>
    </row>
    <row r="4" spans="1:3" x14ac:dyDescent="0.35">
      <c r="A4" t="s">
        <v>291</v>
      </c>
    </row>
    <row r="5" spans="1:3" x14ac:dyDescent="0.35">
      <c r="A5" t="s">
        <v>292</v>
      </c>
    </row>
    <row r="6" spans="1:3" x14ac:dyDescent="0.35">
      <c r="A6" t="s">
        <v>293</v>
      </c>
    </row>
    <row r="8" spans="1:3" x14ac:dyDescent="0.35">
      <c r="A8" t="s">
        <v>294</v>
      </c>
    </row>
    <row r="9" spans="1:3" x14ac:dyDescent="0.35">
      <c r="A9" t="s">
        <v>295</v>
      </c>
      <c r="B9">
        <v>30</v>
      </c>
      <c r="C9" t="s">
        <v>296</v>
      </c>
    </row>
    <row r="10" spans="1:3" x14ac:dyDescent="0.35">
      <c r="A10" t="s">
        <v>297</v>
      </c>
      <c r="B10">
        <v>5</v>
      </c>
      <c r="C10" t="s">
        <v>296</v>
      </c>
    </row>
    <row r="11" spans="1:3" x14ac:dyDescent="0.35">
      <c r="A11" t="s">
        <v>291</v>
      </c>
      <c r="B11">
        <v>25</v>
      </c>
      <c r="C11" t="s">
        <v>296</v>
      </c>
    </row>
    <row r="12" spans="1:3" x14ac:dyDescent="0.35">
      <c r="A12" t="s">
        <v>298</v>
      </c>
      <c r="B12" s="257">
        <v>1600</v>
      </c>
      <c r="C12" t="s">
        <v>299</v>
      </c>
    </row>
    <row r="13" spans="1:3" x14ac:dyDescent="0.35">
      <c r="A13" t="s">
        <v>291</v>
      </c>
      <c r="B13" s="257">
        <f>B12*B11</f>
        <v>40000</v>
      </c>
      <c r="C13" t="s">
        <v>300</v>
      </c>
    </row>
    <row r="15" spans="1:3" x14ac:dyDescent="0.35">
      <c r="A15" t="s">
        <v>301</v>
      </c>
    </row>
    <row r="16" spans="1:3" x14ac:dyDescent="0.35">
      <c r="A16" t="s">
        <v>302</v>
      </c>
      <c r="B16" s="257">
        <v>10000</v>
      </c>
      <c r="C16" t="s">
        <v>300</v>
      </c>
    </row>
    <row r="17" spans="1:2" x14ac:dyDescent="0.35">
      <c r="A17" t="s">
        <v>303</v>
      </c>
      <c r="B17" s="257"/>
    </row>
    <row r="19" spans="1:2" x14ac:dyDescent="0.35">
      <c r="A19" t="s">
        <v>304</v>
      </c>
      <c r="B19" t="s">
        <v>305</v>
      </c>
    </row>
    <row r="20" spans="1:2" x14ac:dyDescent="0.35">
      <c r="B20" t="s">
        <v>306</v>
      </c>
    </row>
    <row r="21" spans="1:2" x14ac:dyDescent="0.35">
      <c r="B21" s="258">
        <v>0.33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</sheetPr>
  <dimension ref="B1:M31"/>
  <sheetViews>
    <sheetView showGridLines="0" view="pageBreakPreview" zoomScaleNormal="90" zoomScaleSheetLayoutView="100" workbookViewId="0">
      <selection activeCell="D4" sqref="D4:E4"/>
    </sheetView>
  </sheetViews>
  <sheetFormatPr defaultColWidth="8.7265625" defaultRowHeight="14.5" x14ac:dyDescent="0.35"/>
  <cols>
    <col min="1" max="1" width="1.453125" customWidth="1"/>
    <col min="2" max="2" width="3.7265625" customWidth="1"/>
    <col min="3" max="3" width="43.1796875" customWidth="1"/>
    <col min="4" max="4" width="9.1796875" bestFit="1" customWidth="1"/>
    <col min="5" max="5" width="9.453125" bestFit="1" customWidth="1"/>
    <col min="6" max="7" width="9.1796875" bestFit="1" customWidth="1"/>
    <col min="8" max="8" width="10.453125" bestFit="1" customWidth="1"/>
    <col min="9" max="9" width="9.7265625" customWidth="1"/>
    <col min="12" max="12" width="22.453125" customWidth="1"/>
  </cols>
  <sheetData>
    <row r="1" spans="2:13" ht="18.5" x14ac:dyDescent="0.45">
      <c r="B1" s="7" t="s">
        <v>307</v>
      </c>
    </row>
    <row r="3" spans="2:13" s="1" customFormat="1" ht="13.5" x14ac:dyDescent="0.35">
      <c r="B3" s="5" t="s">
        <v>308</v>
      </c>
      <c r="C3" s="5"/>
      <c r="D3" s="5"/>
      <c r="E3" s="5"/>
      <c r="F3" s="5"/>
      <c r="H3" s="5"/>
    </row>
    <row r="4" spans="2:13" s="1" customFormat="1" ht="27" customHeight="1" x14ac:dyDescent="0.35">
      <c r="B4" s="554" t="s">
        <v>98</v>
      </c>
      <c r="C4" s="554" t="s">
        <v>309</v>
      </c>
      <c r="D4" s="556" t="s">
        <v>310</v>
      </c>
      <c r="E4" s="557"/>
      <c r="F4" s="558" t="s">
        <v>311</v>
      </c>
      <c r="G4" s="558"/>
      <c r="H4" s="558"/>
    </row>
    <row r="5" spans="2:13" s="1" customFormat="1" ht="23.25" customHeight="1" x14ac:dyDescent="0.35">
      <c r="B5" s="555"/>
      <c r="C5" s="555"/>
      <c r="D5" s="11" t="s">
        <v>312</v>
      </c>
      <c r="E5" s="15" t="s">
        <v>313</v>
      </c>
      <c r="F5" s="11" t="s">
        <v>312</v>
      </c>
      <c r="G5" s="15" t="s">
        <v>314</v>
      </c>
      <c r="H5" s="15" t="s">
        <v>315</v>
      </c>
    </row>
    <row r="6" spans="2:13" s="1" customFormat="1" ht="24" customHeight="1" x14ac:dyDescent="0.35">
      <c r="B6" s="8"/>
      <c r="C6" s="30"/>
      <c r="D6" s="8"/>
      <c r="E6" s="8"/>
      <c r="F6" s="8"/>
      <c r="G6" s="8"/>
      <c r="H6" s="8"/>
      <c r="M6" s="31" t="s">
        <v>0</v>
      </c>
    </row>
    <row r="7" spans="2:13" s="1" customFormat="1" ht="24" customHeight="1" x14ac:dyDescent="0.35">
      <c r="B7" s="8"/>
      <c r="C7" s="30"/>
      <c r="D7" s="8"/>
      <c r="E7" s="8"/>
      <c r="F7" s="8"/>
      <c r="G7" s="8"/>
      <c r="H7" s="8"/>
    </row>
    <row r="8" spans="2:13" s="1" customFormat="1" ht="24" customHeight="1" x14ac:dyDescent="0.35">
      <c r="B8" s="8"/>
      <c r="C8" s="30"/>
      <c r="D8" s="8"/>
      <c r="E8" s="8"/>
      <c r="F8" s="8"/>
      <c r="G8" s="8"/>
      <c r="H8" s="8"/>
    </row>
    <row r="9" spans="2:13" s="1" customFormat="1" ht="24" customHeight="1" x14ac:dyDescent="0.35">
      <c r="B9" s="8"/>
      <c r="C9" s="30"/>
      <c r="D9" s="8"/>
      <c r="E9" s="8"/>
      <c r="F9" s="8"/>
      <c r="G9" s="8"/>
      <c r="H9" s="8"/>
    </row>
    <row r="10" spans="2:13" s="1" customFormat="1" ht="24" customHeight="1" x14ac:dyDescent="0.35">
      <c r="B10" s="8"/>
      <c r="C10" s="30"/>
      <c r="D10" s="8"/>
      <c r="E10" s="8"/>
      <c r="F10" s="8"/>
      <c r="G10" s="8"/>
      <c r="H10" s="8"/>
    </row>
    <row r="11" spans="2:13" s="1" customFormat="1" ht="24" customHeight="1" x14ac:dyDescent="0.35">
      <c r="B11" s="8"/>
      <c r="C11" s="30"/>
      <c r="D11" s="8"/>
      <c r="E11" s="8"/>
      <c r="F11" s="8"/>
      <c r="G11" s="8"/>
      <c r="H11" s="8"/>
    </row>
    <row r="12" spans="2:13" s="1" customFormat="1" ht="24" customHeight="1" x14ac:dyDescent="0.35">
      <c r="B12" s="8"/>
      <c r="C12" s="30"/>
      <c r="D12" s="8"/>
      <c r="E12" s="8"/>
      <c r="F12" s="8"/>
      <c r="G12" s="8"/>
      <c r="H12" s="8"/>
    </row>
    <row r="13" spans="2:13" s="1" customFormat="1" ht="24" customHeight="1" x14ac:dyDescent="0.35">
      <c r="B13" s="8"/>
      <c r="C13" s="30"/>
      <c r="D13" s="8"/>
      <c r="E13" s="8"/>
      <c r="F13" s="8"/>
      <c r="G13" s="8"/>
      <c r="H13" s="8"/>
    </row>
    <row r="14" spans="2:13" s="1" customFormat="1" ht="13.5" x14ac:dyDescent="0.35">
      <c r="B14" s="9"/>
      <c r="C14" s="5"/>
      <c r="D14" s="5"/>
      <c r="E14" s="5"/>
      <c r="F14" s="5"/>
      <c r="G14" s="5"/>
      <c r="H14" s="5"/>
    </row>
    <row r="15" spans="2:13" s="1" customFormat="1" ht="13.5" x14ac:dyDescent="0.35">
      <c r="B15" s="9"/>
      <c r="C15" s="5"/>
      <c r="D15" s="5"/>
      <c r="E15" s="5"/>
      <c r="F15" s="5"/>
      <c r="G15" s="5"/>
      <c r="H15" s="5"/>
    </row>
    <row r="16" spans="2:13" s="1" customFormat="1" ht="13.5" x14ac:dyDescent="0.35">
      <c r="B16" s="5" t="s">
        <v>316</v>
      </c>
      <c r="C16" s="5"/>
      <c r="D16" s="5"/>
      <c r="E16" s="5"/>
      <c r="F16" s="5"/>
      <c r="G16" s="5"/>
      <c r="H16" s="5"/>
    </row>
    <row r="17" spans="2:8" s="1" customFormat="1" ht="18" customHeight="1" x14ac:dyDescent="0.35">
      <c r="B17" s="17" t="s">
        <v>168</v>
      </c>
      <c r="C17" s="17" t="s">
        <v>284</v>
      </c>
      <c r="D17" s="559" t="s">
        <v>285</v>
      </c>
      <c r="E17" s="559"/>
      <c r="F17" s="559"/>
      <c r="G17" s="559"/>
      <c r="H17" s="559"/>
    </row>
    <row r="18" spans="2:8" s="1" customFormat="1" ht="26.25" customHeight="1" x14ac:dyDescent="0.35">
      <c r="B18" s="3"/>
      <c r="C18" s="217"/>
      <c r="D18" s="560"/>
      <c r="E18" s="561"/>
      <c r="F18" s="561"/>
      <c r="G18" s="561"/>
      <c r="H18" s="562"/>
    </row>
    <row r="19" spans="2:8" s="1" customFormat="1" ht="22.5" customHeight="1" x14ac:dyDescent="0.35">
      <c r="B19" s="3"/>
      <c r="C19" s="30"/>
      <c r="D19" s="563"/>
      <c r="E19" s="564"/>
      <c r="F19" s="564"/>
      <c r="G19" s="564"/>
      <c r="H19" s="565"/>
    </row>
    <row r="20" spans="2:8" s="1" customFormat="1" ht="22.5" customHeight="1" x14ac:dyDescent="0.35">
      <c r="B20" s="3"/>
      <c r="C20" s="218"/>
      <c r="D20" s="566"/>
      <c r="E20" s="567"/>
      <c r="F20" s="567"/>
      <c r="G20" s="567"/>
      <c r="H20" s="568"/>
    </row>
    <row r="21" spans="2:8" s="1" customFormat="1" ht="22.5" customHeight="1" x14ac:dyDescent="0.35">
      <c r="B21" s="3"/>
      <c r="C21" s="4"/>
      <c r="D21" s="569"/>
      <c r="E21" s="569"/>
      <c r="F21" s="569"/>
      <c r="G21" s="569"/>
      <c r="H21" s="569"/>
    </row>
    <row r="22" spans="2:8" s="1" customFormat="1" ht="22.5" customHeight="1" x14ac:dyDescent="0.35">
      <c r="B22" s="3"/>
      <c r="C22" s="4"/>
      <c r="D22" s="569"/>
      <c r="E22" s="569"/>
      <c r="F22" s="569"/>
      <c r="G22" s="569"/>
      <c r="H22" s="569"/>
    </row>
    <row r="23" spans="2:8" s="1" customFormat="1" ht="22.5" customHeight="1" x14ac:dyDescent="0.35">
      <c r="B23" s="3"/>
      <c r="C23" s="4"/>
      <c r="D23" s="569"/>
      <c r="E23" s="569"/>
      <c r="F23" s="569"/>
      <c r="G23" s="569"/>
      <c r="H23" s="569"/>
    </row>
    <row r="24" spans="2:8" s="1" customFormat="1" ht="22.5" customHeight="1" x14ac:dyDescent="0.35">
      <c r="B24" s="3"/>
      <c r="C24" s="4"/>
      <c r="D24" s="569"/>
      <c r="E24" s="569"/>
      <c r="F24" s="569"/>
      <c r="G24" s="569"/>
      <c r="H24" s="569"/>
    </row>
    <row r="25" spans="2:8" s="1" customFormat="1" ht="22.5" customHeight="1" x14ac:dyDescent="0.35">
      <c r="B25" s="3"/>
      <c r="C25" s="4"/>
      <c r="D25" s="569"/>
      <c r="E25" s="569"/>
      <c r="F25" s="569"/>
      <c r="G25" s="569"/>
      <c r="H25" s="569"/>
    </row>
    <row r="26" spans="2:8" s="1" customFormat="1" ht="22.5" customHeight="1" x14ac:dyDescent="0.35">
      <c r="B26" s="3"/>
      <c r="C26" s="4"/>
      <c r="D26" s="569"/>
      <c r="E26" s="569"/>
      <c r="F26" s="569"/>
      <c r="G26" s="569"/>
      <c r="H26" s="569"/>
    </row>
    <row r="27" spans="2:8" s="1" customFormat="1" ht="22.5" customHeight="1" x14ac:dyDescent="0.35">
      <c r="B27" s="3"/>
      <c r="C27" s="4"/>
      <c r="D27" s="569"/>
      <c r="E27" s="569"/>
      <c r="F27" s="569"/>
      <c r="G27" s="569"/>
      <c r="H27" s="569"/>
    </row>
    <row r="28" spans="2:8" s="1" customFormat="1" ht="15.75" customHeight="1" x14ac:dyDescent="0.35">
      <c r="B28" s="552"/>
      <c r="C28" s="552"/>
      <c r="D28" s="552"/>
      <c r="E28" s="552"/>
      <c r="F28" s="552"/>
      <c r="G28" s="552"/>
      <c r="H28" s="5"/>
    </row>
    <row r="29" spans="2:8" s="1" customFormat="1" ht="13.5" x14ac:dyDescent="0.35">
      <c r="B29" s="553"/>
      <c r="C29" s="553"/>
      <c r="D29" s="553"/>
      <c r="E29" s="553"/>
      <c r="F29" s="553"/>
      <c r="G29" s="553"/>
      <c r="H29" s="5"/>
    </row>
    <row r="30" spans="2:8" s="1" customFormat="1" ht="13.5" x14ac:dyDescent="0.35">
      <c r="B30" s="9"/>
      <c r="C30" s="5"/>
      <c r="D30" s="5"/>
      <c r="E30" s="5"/>
      <c r="F30" s="5"/>
      <c r="G30" s="5"/>
      <c r="H30" s="5"/>
    </row>
    <row r="31" spans="2:8" s="1" customFormat="1" x14ac:dyDescent="0.35">
      <c r="B31" s="9"/>
      <c r="C31" s="5"/>
      <c r="D31" s="5"/>
      <c r="E31" s="5"/>
      <c r="F31"/>
      <c r="G31"/>
      <c r="H31" s="5"/>
    </row>
  </sheetData>
  <mergeCells count="16">
    <mergeCell ref="B28:G29"/>
    <mergeCell ref="B4:B5"/>
    <mergeCell ref="C4:C5"/>
    <mergeCell ref="D4:E4"/>
    <mergeCell ref="F4:H4"/>
    <mergeCell ref="D17:H17"/>
    <mergeCell ref="D18:H18"/>
    <mergeCell ref="D19:H19"/>
    <mergeCell ref="D20:H20"/>
    <mergeCell ref="D26:H26"/>
    <mergeCell ref="D27:H27"/>
    <mergeCell ref="D21:H21"/>
    <mergeCell ref="D22:H22"/>
    <mergeCell ref="D23:H23"/>
    <mergeCell ref="D24:H24"/>
    <mergeCell ref="D25:H25"/>
  </mergeCells>
  <dataValidations count="1">
    <dataValidation type="list" allowBlank="1" showInputMessage="1" showErrorMessage="1" sqref="D6:H13">
      <formula1>$M$6</formula1>
    </dataValidation>
  </dataValidations>
  <printOptions horizontalCentered="1"/>
  <pageMargins left="0.25" right="0.25" top="0.25" bottom="0.25" header="0.3" footer="0.3"/>
  <pageSetup paperSize="9" orientation="portrait" r:id="rId1"/>
  <headerFooter>
    <oddFooter>&amp;R&amp;"Palatino Linotype,Italic"&amp;10Lampiran Kertas Kerja QCC-QCP Rev.2(191213)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B4:B11"/>
  <sheetViews>
    <sheetView workbookViewId="0">
      <selection activeCell="J17" sqref="J17"/>
    </sheetView>
  </sheetViews>
  <sheetFormatPr defaultColWidth="8.7265625" defaultRowHeight="14.5" x14ac:dyDescent="0.35"/>
  <sheetData>
    <row r="4" spans="2:2" x14ac:dyDescent="0.35">
      <c r="B4" s="185" t="s">
        <v>317</v>
      </c>
    </row>
    <row r="11" spans="2:2" x14ac:dyDescent="0.35">
      <c r="B11" t="s">
        <v>318</v>
      </c>
    </row>
  </sheetData>
  <hyperlinks>
    <hyperlink ref="B4" r:id="rId1" display="https://tapagri-my.sharepoint.com/:w:/g/personal/kokoh_handoko_tap-agri_com/EaK4Icwr3YlIrUaLy09T3PgBxW7iAf1jI5L5wiGX_FyzGA?e=8b9dKG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B050"/>
  </sheetPr>
  <dimension ref="B1:V52"/>
  <sheetViews>
    <sheetView showGridLines="0" view="pageBreakPreview" zoomScaleNormal="90" zoomScaleSheetLayoutView="100" workbookViewId="0">
      <selection activeCell="X11" sqref="X11"/>
    </sheetView>
  </sheetViews>
  <sheetFormatPr defaultColWidth="8.7265625" defaultRowHeight="14.5" x14ac:dyDescent="0.35"/>
  <cols>
    <col min="1" max="1" width="1.7265625" customWidth="1"/>
    <col min="2" max="2" width="3.7265625" customWidth="1"/>
    <col min="3" max="3" width="24.7265625" customWidth="1"/>
    <col min="4" max="4" width="7" customWidth="1"/>
    <col min="5" max="20" width="3.1796875" customWidth="1"/>
    <col min="21" max="21" width="0.7265625" customWidth="1"/>
    <col min="22" max="22" width="9.7265625" customWidth="1"/>
    <col min="25" max="25" width="22.453125" customWidth="1"/>
  </cols>
  <sheetData>
    <row r="1" spans="2:21" ht="18.5" x14ac:dyDescent="0.45">
      <c r="B1" s="7" t="s">
        <v>307</v>
      </c>
    </row>
    <row r="2" spans="2:21" x14ac:dyDescent="0.35">
      <c r="B2" t="s">
        <v>319</v>
      </c>
    </row>
    <row r="3" spans="2:21" x14ac:dyDescent="0.35">
      <c r="B3" s="6"/>
    </row>
    <row r="4" spans="2:21" x14ac:dyDescent="0.35">
      <c r="B4" s="10" t="s">
        <v>320</v>
      </c>
    </row>
    <row r="5" spans="2:21" s="1" customFormat="1" ht="13.5" x14ac:dyDescent="0.35">
      <c r="B5" s="5" t="s">
        <v>321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</row>
    <row r="6" spans="2:21" s="1" customFormat="1" ht="13.5" x14ac:dyDescent="0.35">
      <c r="B6" s="554" t="s">
        <v>98</v>
      </c>
      <c r="C6" s="584" t="s">
        <v>146</v>
      </c>
      <c r="D6" s="585"/>
      <c r="E6" s="576" t="s">
        <v>322</v>
      </c>
      <c r="F6" s="576"/>
      <c r="G6" s="576"/>
      <c r="H6" s="576"/>
      <c r="I6" s="576"/>
      <c r="J6" s="576"/>
      <c r="K6" s="576"/>
      <c r="L6" s="576"/>
      <c r="M6" s="576"/>
      <c r="N6" s="576"/>
      <c r="O6" s="576"/>
      <c r="P6" s="576"/>
      <c r="Q6" s="23"/>
      <c r="R6" s="23"/>
      <c r="S6" s="23"/>
      <c r="T6" s="5"/>
      <c r="U6" s="5"/>
    </row>
    <row r="7" spans="2:21" s="1" customFormat="1" ht="20.25" customHeight="1" x14ac:dyDescent="0.35">
      <c r="B7" s="555"/>
      <c r="C7" s="586"/>
      <c r="D7" s="587"/>
      <c r="E7" s="591" t="s">
        <v>323</v>
      </c>
      <c r="F7" s="592"/>
      <c r="G7" s="592"/>
      <c r="H7" s="593"/>
      <c r="I7" s="558" t="s">
        <v>149</v>
      </c>
      <c r="J7" s="558"/>
      <c r="K7" s="558"/>
      <c r="L7" s="558"/>
      <c r="M7" s="558" t="s">
        <v>324</v>
      </c>
      <c r="N7" s="558"/>
      <c r="O7" s="558"/>
      <c r="P7" s="558"/>
      <c r="Q7" s="24"/>
      <c r="R7" s="24"/>
      <c r="S7" s="24"/>
      <c r="T7" s="5"/>
      <c r="U7" s="5"/>
    </row>
    <row r="8" spans="2:21" s="1" customFormat="1" ht="21" customHeight="1" x14ac:dyDescent="0.35">
      <c r="B8" s="3">
        <v>1</v>
      </c>
      <c r="C8" s="578"/>
      <c r="D8" s="580"/>
      <c r="E8" s="578"/>
      <c r="F8" s="579"/>
      <c r="G8" s="579"/>
      <c r="H8" s="580"/>
      <c r="I8" s="577"/>
      <c r="J8" s="577"/>
      <c r="K8" s="577"/>
      <c r="L8" s="577"/>
      <c r="M8" s="577"/>
      <c r="N8" s="577"/>
      <c r="O8" s="577"/>
      <c r="P8" s="577"/>
      <c r="Q8" s="9"/>
      <c r="R8" s="9"/>
      <c r="S8" s="9"/>
      <c r="T8" s="5"/>
      <c r="U8" s="5"/>
    </row>
    <row r="9" spans="2:21" s="1" customFormat="1" ht="21" customHeight="1" x14ac:dyDescent="0.35">
      <c r="B9" s="3">
        <v>2</v>
      </c>
      <c r="C9" s="578"/>
      <c r="D9" s="580"/>
      <c r="E9" s="578"/>
      <c r="F9" s="579"/>
      <c r="G9" s="579"/>
      <c r="H9" s="580"/>
      <c r="I9" s="577"/>
      <c r="J9" s="577"/>
      <c r="K9" s="577"/>
      <c r="L9" s="577"/>
      <c r="M9" s="577"/>
      <c r="N9" s="577"/>
      <c r="O9" s="577"/>
      <c r="P9" s="577"/>
      <c r="Q9" s="9"/>
      <c r="R9" s="9"/>
      <c r="S9" s="9"/>
      <c r="T9" s="5"/>
      <c r="U9" s="5"/>
    </row>
    <row r="10" spans="2:21" s="1" customFormat="1" ht="21" customHeight="1" x14ac:dyDescent="0.35">
      <c r="B10" s="3">
        <v>3</v>
      </c>
      <c r="C10" s="578"/>
      <c r="D10" s="580"/>
      <c r="E10" s="578"/>
      <c r="F10" s="579"/>
      <c r="G10" s="579"/>
      <c r="H10" s="580"/>
      <c r="I10" s="577"/>
      <c r="J10" s="577"/>
      <c r="K10" s="577"/>
      <c r="L10" s="577"/>
      <c r="M10" s="577"/>
      <c r="N10" s="577"/>
      <c r="O10" s="577"/>
      <c r="P10" s="577"/>
      <c r="Q10" s="9"/>
      <c r="R10" s="9"/>
      <c r="S10" s="9"/>
      <c r="T10" s="5"/>
      <c r="U10" s="5"/>
    </row>
    <row r="11" spans="2:21" s="1" customFormat="1" ht="21" customHeight="1" x14ac:dyDescent="0.35">
      <c r="B11" s="3">
        <v>4</v>
      </c>
      <c r="C11" s="578"/>
      <c r="D11" s="580"/>
      <c r="E11" s="578"/>
      <c r="F11" s="579"/>
      <c r="G11" s="579"/>
      <c r="H11" s="580"/>
      <c r="I11" s="577"/>
      <c r="J11" s="577"/>
      <c r="K11" s="577"/>
      <c r="L11" s="577"/>
      <c r="M11" s="577"/>
      <c r="N11" s="577"/>
      <c r="O11" s="577"/>
      <c r="P11" s="577"/>
      <c r="Q11" s="9"/>
      <c r="R11" s="9"/>
      <c r="S11" s="9"/>
      <c r="T11" s="5"/>
      <c r="U11" s="5"/>
    </row>
    <row r="12" spans="2:21" s="1" customFormat="1" ht="13.5" x14ac:dyDescent="0.35">
      <c r="B12" s="9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</row>
    <row r="13" spans="2:21" s="1" customFormat="1" ht="13.5" x14ac:dyDescent="0.35">
      <c r="B13" s="5" t="s">
        <v>325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</row>
    <row r="14" spans="2:21" s="1" customFormat="1" ht="5.25" customHeight="1" x14ac:dyDescent="0.35">
      <c r="B14" s="9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21"/>
      <c r="U14" s="5"/>
    </row>
    <row r="15" spans="2:21" s="1" customFormat="1" ht="13.5" x14ac:dyDescent="0.35">
      <c r="B15" s="554" t="s">
        <v>98</v>
      </c>
      <c r="C15" s="584" t="s">
        <v>146</v>
      </c>
      <c r="D15" s="585"/>
      <c r="E15" s="576" t="s">
        <v>322</v>
      </c>
      <c r="F15" s="576"/>
      <c r="G15" s="576"/>
      <c r="H15" s="576"/>
      <c r="I15" s="576"/>
      <c r="J15" s="576"/>
      <c r="K15" s="576"/>
      <c r="L15" s="576"/>
      <c r="M15" s="576"/>
      <c r="N15" s="576"/>
      <c r="O15" s="576"/>
      <c r="P15" s="576"/>
      <c r="Q15" s="576"/>
      <c r="R15" s="576"/>
      <c r="S15" s="576"/>
      <c r="T15" s="576"/>
      <c r="U15" s="5"/>
    </row>
    <row r="16" spans="2:21" s="1" customFormat="1" ht="27.75" customHeight="1" x14ac:dyDescent="0.35">
      <c r="B16" s="555"/>
      <c r="C16" s="586"/>
      <c r="D16" s="587"/>
      <c r="E16" s="556" t="s">
        <v>326</v>
      </c>
      <c r="F16" s="581"/>
      <c r="G16" s="581"/>
      <c r="H16" s="557"/>
      <c r="I16" s="556" t="s">
        <v>327</v>
      </c>
      <c r="J16" s="581"/>
      <c r="K16" s="581"/>
      <c r="L16" s="557"/>
      <c r="M16" s="556" t="s">
        <v>328</v>
      </c>
      <c r="N16" s="581"/>
      <c r="O16" s="581"/>
      <c r="P16" s="557"/>
      <c r="Q16" s="556" t="s">
        <v>329</v>
      </c>
      <c r="R16" s="581"/>
      <c r="S16" s="581"/>
      <c r="T16" s="557"/>
      <c r="U16" s="12"/>
    </row>
    <row r="17" spans="2:22" s="1" customFormat="1" ht="23.25" customHeight="1" x14ac:dyDescent="0.35">
      <c r="B17" s="3"/>
      <c r="C17" s="578"/>
      <c r="D17" s="580"/>
      <c r="E17" s="573"/>
      <c r="F17" s="574"/>
      <c r="G17" s="574"/>
      <c r="H17" s="575"/>
      <c r="I17" s="573"/>
      <c r="J17" s="574"/>
      <c r="K17" s="574"/>
      <c r="L17" s="575"/>
      <c r="M17" s="573"/>
      <c r="N17" s="574"/>
      <c r="O17" s="574"/>
      <c r="P17" s="575"/>
      <c r="Q17" s="573"/>
      <c r="R17" s="574"/>
      <c r="S17" s="574"/>
      <c r="T17" s="575"/>
      <c r="U17" s="5"/>
      <c r="V17" s="13"/>
    </row>
    <row r="18" spans="2:22" s="1" customFormat="1" ht="23.25" customHeight="1" x14ac:dyDescent="0.35">
      <c r="B18" s="3"/>
      <c r="C18" s="578"/>
      <c r="D18" s="580"/>
      <c r="E18" s="573"/>
      <c r="F18" s="574"/>
      <c r="G18" s="574"/>
      <c r="H18" s="575"/>
      <c r="I18" s="573"/>
      <c r="J18" s="574"/>
      <c r="K18" s="574"/>
      <c r="L18" s="575"/>
      <c r="M18" s="573"/>
      <c r="N18" s="574"/>
      <c r="O18" s="574"/>
      <c r="P18" s="575"/>
      <c r="Q18" s="573"/>
      <c r="R18" s="574"/>
      <c r="S18" s="574"/>
      <c r="T18" s="575"/>
      <c r="U18" s="5"/>
    </row>
    <row r="19" spans="2:22" s="1" customFormat="1" ht="23.25" customHeight="1" x14ac:dyDescent="0.35">
      <c r="B19" s="3"/>
      <c r="C19" s="578"/>
      <c r="D19" s="580"/>
      <c r="E19" s="573"/>
      <c r="F19" s="574"/>
      <c r="G19" s="574"/>
      <c r="H19" s="575"/>
      <c r="I19" s="573"/>
      <c r="J19" s="574"/>
      <c r="K19" s="574"/>
      <c r="L19" s="575"/>
      <c r="M19" s="573"/>
      <c r="N19" s="574"/>
      <c r="O19" s="574"/>
      <c r="P19" s="575"/>
      <c r="Q19" s="573"/>
      <c r="R19" s="574"/>
      <c r="S19" s="574"/>
      <c r="T19" s="575"/>
      <c r="U19" s="5"/>
    </row>
    <row r="20" spans="2:22" s="1" customFormat="1" ht="23.25" customHeight="1" x14ac:dyDescent="0.35">
      <c r="B20" s="3"/>
      <c r="C20" s="578"/>
      <c r="D20" s="580"/>
      <c r="E20" s="573"/>
      <c r="F20" s="574"/>
      <c r="G20" s="574"/>
      <c r="H20" s="575"/>
      <c r="I20" s="573"/>
      <c r="J20" s="574"/>
      <c r="K20" s="574"/>
      <c r="L20" s="575"/>
      <c r="M20" s="573"/>
      <c r="N20" s="574"/>
      <c r="O20" s="574"/>
      <c r="P20" s="575"/>
      <c r="Q20" s="573"/>
      <c r="R20" s="574"/>
      <c r="S20" s="574"/>
      <c r="T20" s="575"/>
      <c r="U20" s="5"/>
    </row>
    <row r="21" spans="2:22" s="1" customFormat="1" ht="23.25" customHeight="1" x14ac:dyDescent="0.35">
      <c r="B21" s="3"/>
      <c r="C21" s="578"/>
      <c r="D21" s="580"/>
      <c r="E21" s="573"/>
      <c r="F21" s="574"/>
      <c r="G21" s="574"/>
      <c r="H21" s="575"/>
      <c r="I21" s="573"/>
      <c r="J21" s="574"/>
      <c r="K21" s="574"/>
      <c r="L21" s="575"/>
      <c r="M21" s="573"/>
      <c r="N21" s="574"/>
      <c r="O21" s="574"/>
      <c r="P21" s="575"/>
      <c r="Q21" s="573"/>
      <c r="R21" s="574"/>
      <c r="S21" s="574"/>
      <c r="T21" s="575"/>
      <c r="U21" s="5"/>
    </row>
    <row r="22" spans="2:22" s="1" customFormat="1" ht="13.5" x14ac:dyDescent="0.35">
      <c r="B22" s="9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2" s="1" customFormat="1" ht="13.5" x14ac:dyDescent="0.35">
      <c r="B23" s="9"/>
      <c r="C23" s="16"/>
      <c r="D23" s="16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2" s="1" customFormat="1" ht="13.5" x14ac:dyDescent="0.35">
      <c r="B24" s="588" t="s">
        <v>330</v>
      </c>
      <c r="C24" s="588"/>
      <c r="D24" s="588"/>
      <c r="E24" s="588"/>
      <c r="F24" s="588"/>
      <c r="G24" s="588"/>
      <c r="H24" s="588"/>
      <c r="I24" s="588"/>
      <c r="J24" s="22"/>
      <c r="K24" s="22"/>
      <c r="L24" s="22"/>
      <c r="M24" s="18"/>
      <c r="N24" s="18"/>
      <c r="O24" s="18"/>
      <c r="P24" s="18"/>
      <c r="Q24" s="18"/>
      <c r="R24" s="18"/>
      <c r="S24" s="18"/>
      <c r="T24" s="18"/>
      <c r="U24" s="5"/>
    </row>
    <row r="25" spans="2:22" s="1" customFormat="1" ht="2.25" customHeight="1" x14ac:dyDescent="0.35"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19"/>
      <c r="U25" s="5"/>
    </row>
    <row r="26" spans="2:22" s="1" customFormat="1" ht="24.75" customHeight="1" x14ac:dyDescent="0.35">
      <c r="B26" s="589" t="s">
        <v>168</v>
      </c>
      <c r="C26" s="594" t="s">
        <v>331</v>
      </c>
      <c r="D26" s="595"/>
      <c r="E26" s="570" t="s">
        <v>332</v>
      </c>
      <c r="F26" s="571"/>
      <c r="G26" s="571"/>
      <c r="H26" s="572"/>
      <c r="I26" s="570" t="s">
        <v>332</v>
      </c>
      <c r="J26" s="571"/>
      <c r="K26" s="571"/>
      <c r="L26" s="572"/>
      <c r="M26" s="570" t="s">
        <v>332</v>
      </c>
      <c r="N26" s="571"/>
      <c r="O26" s="571"/>
      <c r="P26" s="572"/>
      <c r="Q26" s="570" t="s">
        <v>332</v>
      </c>
      <c r="R26" s="571"/>
      <c r="S26" s="571"/>
      <c r="T26" s="572"/>
      <c r="U26" s="5"/>
    </row>
    <row r="27" spans="2:22" s="1" customFormat="1" ht="13.5" x14ac:dyDescent="0.35">
      <c r="B27" s="590"/>
      <c r="C27" s="596"/>
      <c r="D27" s="597"/>
      <c r="E27" s="8">
        <v>1</v>
      </c>
      <c r="F27" s="8">
        <v>2</v>
      </c>
      <c r="G27" s="8">
        <v>3</v>
      </c>
      <c r="H27" s="8">
        <v>4</v>
      </c>
      <c r="I27" s="8">
        <v>1</v>
      </c>
      <c r="J27" s="8">
        <v>2</v>
      </c>
      <c r="K27" s="8">
        <v>3</v>
      </c>
      <c r="L27" s="8">
        <v>4</v>
      </c>
      <c r="M27" s="8">
        <v>1</v>
      </c>
      <c r="N27" s="8">
        <v>2</v>
      </c>
      <c r="O27" s="8">
        <v>3</v>
      </c>
      <c r="P27" s="8">
        <v>4</v>
      </c>
      <c r="Q27" s="8">
        <v>1</v>
      </c>
      <c r="R27" s="8">
        <v>2</v>
      </c>
      <c r="S27" s="8">
        <v>3</v>
      </c>
      <c r="T27" s="8">
        <v>4</v>
      </c>
      <c r="U27" s="5"/>
    </row>
    <row r="28" spans="2:22" s="25" customFormat="1" ht="21" customHeight="1" x14ac:dyDescent="0.35">
      <c r="B28" s="8">
        <v>1</v>
      </c>
      <c r="C28" s="582" t="s">
        <v>63</v>
      </c>
      <c r="D28" s="582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7"/>
    </row>
    <row r="29" spans="2:22" s="25" customFormat="1" ht="21" customHeight="1" x14ac:dyDescent="0.35">
      <c r="B29" s="8">
        <v>2</v>
      </c>
      <c r="C29" s="582" t="s">
        <v>72</v>
      </c>
      <c r="D29" s="582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7"/>
    </row>
    <row r="30" spans="2:22" s="25" customFormat="1" ht="21" customHeight="1" x14ac:dyDescent="0.35">
      <c r="B30" s="8">
        <v>3</v>
      </c>
      <c r="C30" s="582" t="s">
        <v>76</v>
      </c>
      <c r="D30" s="582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8"/>
      <c r="U30" s="27"/>
    </row>
    <row r="31" spans="2:22" s="25" customFormat="1" ht="21" customHeight="1" x14ac:dyDescent="0.35">
      <c r="B31" s="8">
        <v>4</v>
      </c>
      <c r="C31" s="582" t="s">
        <v>81</v>
      </c>
      <c r="D31" s="582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7"/>
    </row>
    <row r="32" spans="2:22" s="25" customFormat="1" ht="21" customHeight="1" x14ac:dyDescent="0.35">
      <c r="B32" s="8">
        <v>5</v>
      </c>
      <c r="C32" s="582" t="s">
        <v>84</v>
      </c>
      <c r="D32" s="582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7"/>
    </row>
    <row r="33" spans="2:21" s="25" customFormat="1" ht="21" customHeight="1" x14ac:dyDescent="0.35">
      <c r="B33" s="8">
        <v>6</v>
      </c>
      <c r="C33" s="582" t="s">
        <v>87</v>
      </c>
      <c r="D33" s="582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7"/>
    </row>
    <row r="34" spans="2:21" s="25" customFormat="1" ht="21" customHeight="1" x14ac:dyDescent="0.35">
      <c r="B34" s="8">
        <v>7</v>
      </c>
      <c r="C34" s="583" t="s">
        <v>90</v>
      </c>
      <c r="D34" s="583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7"/>
    </row>
    <row r="35" spans="2:21" s="25" customFormat="1" ht="21" customHeight="1" x14ac:dyDescent="0.35">
      <c r="B35" s="8">
        <v>8</v>
      </c>
      <c r="C35" s="582" t="s">
        <v>333</v>
      </c>
      <c r="D35" s="582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8"/>
      <c r="U35" s="27"/>
    </row>
    <row r="36" spans="2:21" s="1" customFormat="1" ht="13.5" x14ac:dyDescent="0.35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19"/>
      <c r="U36" s="5"/>
    </row>
    <row r="37" spans="2:21" s="1" customFormat="1" ht="13.5" x14ac:dyDescent="0.35"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5"/>
    </row>
    <row r="38" spans="2:21" s="1" customFormat="1" ht="13.5" x14ac:dyDescent="0.35"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5"/>
    </row>
    <row r="39" spans="2:21" s="1" customFormat="1" ht="13.5" x14ac:dyDescent="0.35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19"/>
      <c r="U39" s="5"/>
    </row>
    <row r="40" spans="2:21" s="1" customFormat="1" ht="13.5" x14ac:dyDescent="0.35">
      <c r="B40" s="9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5"/>
    </row>
    <row r="41" spans="2:21" s="1" customFormat="1" ht="13.5" x14ac:dyDescent="0.35"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19"/>
      <c r="U41" s="5"/>
    </row>
    <row r="42" spans="2:21" s="1" customFormat="1" ht="13.5" x14ac:dyDescent="0.35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19"/>
      <c r="U42" s="5"/>
    </row>
    <row r="43" spans="2:21" s="1" customFormat="1" ht="13.5" x14ac:dyDescent="0.35"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5"/>
    </row>
    <row r="44" spans="2:21" s="1" customFormat="1" ht="13.5" x14ac:dyDescent="0.35"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5"/>
    </row>
    <row r="45" spans="2:21" s="1" customFormat="1" ht="13.5" x14ac:dyDescent="0.35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19"/>
      <c r="U45" s="5"/>
    </row>
    <row r="46" spans="2:21" s="1" customFormat="1" ht="13.5" x14ac:dyDescent="0.35">
      <c r="B46" s="9"/>
      <c r="C46" s="14"/>
      <c r="D46" s="14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spans="2:21" ht="3" customHeight="1" x14ac:dyDescent="0.35">
      <c r="B47" s="2"/>
      <c r="T47" s="20"/>
    </row>
    <row r="48" spans="2:21" x14ac:dyDescent="0.35">
      <c r="B48" s="2"/>
    </row>
    <row r="49" spans="2:2" x14ac:dyDescent="0.35">
      <c r="B49" s="2"/>
    </row>
    <row r="50" spans="2:2" x14ac:dyDescent="0.35">
      <c r="B50" s="2"/>
    </row>
    <row r="51" spans="2:2" x14ac:dyDescent="0.35">
      <c r="B51" s="2"/>
    </row>
    <row r="52" spans="2:2" x14ac:dyDescent="0.35">
      <c r="B52" s="2"/>
    </row>
  </sheetData>
  <mergeCells count="69">
    <mergeCell ref="B26:B27"/>
    <mergeCell ref="B6:B7"/>
    <mergeCell ref="B15:B16"/>
    <mergeCell ref="E15:T15"/>
    <mergeCell ref="E16:H16"/>
    <mergeCell ref="E7:H7"/>
    <mergeCell ref="I7:L7"/>
    <mergeCell ref="I16:L16"/>
    <mergeCell ref="C18:D18"/>
    <mergeCell ref="C19:D19"/>
    <mergeCell ref="C20:D20"/>
    <mergeCell ref="C21:D21"/>
    <mergeCell ref="E26:H26"/>
    <mergeCell ref="C26:D27"/>
    <mergeCell ref="E17:H17"/>
    <mergeCell ref="E18:H18"/>
    <mergeCell ref="C33:D33"/>
    <mergeCell ref="C34:D34"/>
    <mergeCell ref="C35:D35"/>
    <mergeCell ref="C15:D16"/>
    <mergeCell ref="C6:D7"/>
    <mergeCell ref="C8:D8"/>
    <mergeCell ref="C9:D9"/>
    <mergeCell ref="C10:D10"/>
    <mergeCell ref="C11:D11"/>
    <mergeCell ref="C17:D17"/>
    <mergeCell ref="B24:I24"/>
    <mergeCell ref="C28:D28"/>
    <mergeCell ref="C29:D29"/>
    <mergeCell ref="C30:D30"/>
    <mergeCell ref="C31:D31"/>
    <mergeCell ref="C32:D32"/>
    <mergeCell ref="E19:H19"/>
    <mergeCell ref="E20:H20"/>
    <mergeCell ref="E21:H21"/>
    <mergeCell ref="Q16:T16"/>
    <mergeCell ref="M7:P7"/>
    <mergeCell ref="E10:H10"/>
    <mergeCell ref="E11:H11"/>
    <mergeCell ref="I10:L10"/>
    <mergeCell ref="I11:L11"/>
    <mergeCell ref="M10:P10"/>
    <mergeCell ref="M11:P11"/>
    <mergeCell ref="M16:P16"/>
    <mergeCell ref="Q20:T20"/>
    <mergeCell ref="Q21:T21"/>
    <mergeCell ref="E6:P6"/>
    <mergeCell ref="M8:P8"/>
    <mergeCell ref="M9:P9"/>
    <mergeCell ref="I8:L8"/>
    <mergeCell ref="I9:L9"/>
    <mergeCell ref="E8:H8"/>
    <mergeCell ref="E9:H9"/>
    <mergeCell ref="I26:L26"/>
    <mergeCell ref="M26:P26"/>
    <mergeCell ref="Q26:T26"/>
    <mergeCell ref="I17:L17"/>
    <mergeCell ref="I18:L18"/>
    <mergeCell ref="I19:L19"/>
    <mergeCell ref="I20:L20"/>
    <mergeCell ref="I21:L21"/>
    <mergeCell ref="M17:P17"/>
    <mergeCell ref="M18:P18"/>
    <mergeCell ref="M19:P19"/>
    <mergeCell ref="M20:P20"/>
    <mergeCell ref="M21:P21"/>
    <mergeCell ref="Q17:T17"/>
    <mergeCell ref="Q18:T18"/>
    <mergeCell ref="Q19:T19"/>
  </mergeCells>
  <printOptions horizontalCentered="1"/>
  <pageMargins left="0.25" right="0.25" top="0.25" bottom="0.25" header="0.3" footer="0.3"/>
  <pageSetup paperSize="9" orientation="portrait" r:id="rId1"/>
  <headerFooter>
    <oddFooter>&amp;R&amp;"Palatino Linotype,Italic"&amp;10Lampiran Kertas Kerja QCC-QCP Rev.2(191213)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14</vt:i4>
      </vt:variant>
    </vt:vector>
  </HeadingPairs>
  <TitlesOfParts>
    <vt:vector size="37" baseType="lpstr">
      <vt:lpstr>PROFIL QCC</vt:lpstr>
      <vt:lpstr>PROFIL QCP</vt:lpstr>
      <vt:lpstr>Jadwal</vt:lpstr>
      <vt:lpstr>Peta Kemampuan QCC</vt:lpstr>
      <vt:lpstr>Rumus</vt:lpstr>
      <vt:lpstr>Peta Kemampuan QCP</vt:lpstr>
      <vt:lpstr>Step 1A(pilih salah satu)</vt:lpstr>
      <vt:lpstr>Step 1B(pilih satu)</vt:lpstr>
      <vt:lpstr>Step 2</vt:lpstr>
      <vt:lpstr>Step 3</vt:lpstr>
      <vt:lpstr>Step 4</vt:lpstr>
      <vt:lpstr>Tambahan Step 4 Uji Balik</vt:lpstr>
      <vt:lpstr>Tambahan step 4 Prioritas </vt:lpstr>
      <vt:lpstr>Tambahan Step 5 Alt Solusi</vt:lpstr>
      <vt:lpstr>Step 5 </vt:lpstr>
      <vt:lpstr>Step 6</vt:lpstr>
      <vt:lpstr>Step 7</vt:lpstr>
      <vt:lpstr>Step 7b</vt:lpstr>
      <vt:lpstr>Step 7b (2)</vt:lpstr>
      <vt:lpstr>Tambahan Step 7 Cost benefit</vt:lpstr>
      <vt:lpstr>Step 8</vt:lpstr>
      <vt:lpstr>FORMAT IK</vt:lpstr>
      <vt:lpstr>Step 8a</vt:lpstr>
      <vt:lpstr>Jadwal!Print_Area</vt:lpstr>
      <vt:lpstr>'Peta Kemampuan QCC'!Print_Area</vt:lpstr>
      <vt:lpstr>'Peta Kemampuan QCP'!Print_Area</vt:lpstr>
      <vt:lpstr>'Step 1A(pilih salah satu)'!Print_Area</vt:lpstr>
      <vt:lpstr>'Step 1B(pilih satu)'!Print_Area</vt:lpstr>
      <vt:lpstr>'Step 2'!Print_Area</vt:lpstr>
      <vt:lpstr>'Step 3'!Print_Area</vt:lpstr>
      <vt:lpstr>'Step 4'!Print_Area</vt:lpstr>
      <vt:lpstr>'Step 5 '!Print_Area</vt:lpstr>
      <vt:lpstr>'Step 7'!Print_Area</vt:lpstr>
      <vt:lpstr>'Step 7b'!Print_Area</vt:lpstr>
      <vt:lpstr>'Step 7b (2)'!Print_Area</vt:lpstr>
      <vt:lpstr>'Step 8'!Print_Area</vt:lpstr>
      <vt:lpstr>'Step 8a'!Print_Area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Kokoh Tri Handoko</dc:creator>
  <cp:lastModifiedBy>Aulia</cp:lastModifiedBy>
  <cp:revision/>
  <dcterms:created xsi:type="dcterms:W3CDTF">2011-02-11T02:34:16Z</dcterms:created>
  <dcterms:modified xsi:type="dcterms:W3CDTF">2026-04-16T06:22:50Z</dcterms:modified>
</cp:coreProperties>
</file>