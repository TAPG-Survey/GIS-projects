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4_CLAUDE\GIS-projects\Improvement\HEAD-OFFICE\"/>
    </mc:Choice>
  </mc:AlternateContent>
  <xr:revisionPtr revIDLastSave="0" documentId="8_{C9424AFD-C0AE-43DF-B80C-659E44880D10}" xr6:coauthVersionLast="47" xr6:coauthVersionMax="47" xr10:uidLastSave="{00000000-0000-0000-0000-000000000000}"/>
  <bookViews>
    <workbookView xWindow="-120" yWindow="-120" windowWidth="29040" windowHeight="15840" xr2:uid="{A07A017A-0FBA-45C8-A23E-E2378A65B55D}"/>
  </bookViews>
  <sheets>
    <sheet name="Sheet1" sheetId="1" r:id="rId1"/>
  </sheets>
  <definedNames>
    <definedName name="_xlnm._FilterDatabase" localSheetId="0" hidden="1">Sheet1!$C$26:$H$26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3" i="1" l="1"/>
  <c r="F72" i="1"/>
  <c r="F71" i="1"/>
  <c r="F69" i="1"/>
  <c r="F67" i="1"/>
  <c r="F66" i="1"/>
  <c r="H29" i="1"/>
  <c r="H34" i="1"/>
  <c r="H32" i="1"/>
  <c r="H36" i="1"/>
  <c r="H37" i="1"/>
  <c r="H30" i="1"/>
  <c r="H31" i="1"/>
  <c r="H35" i="1"/>
  <c r="H38" i="1"/>
  <c r="H33" i="1"/>
  <c r="H28" i="1"/>
</calcChain>
</file>

<file path=xl/sharedStrings.xml><?xml version="1.0" encoding="utf-8"?>
<sst xmlns="http://schemas.openxmlformats.org/spreadsheetml/2006/main" count="107" uniqueCount="98">
  <si>
    <t>Pekerjaan Rutin:</t>
  </si>
  <si>
    <t>Closing HS</t>
  </si>
  <si>
    <t>Request Peta</t>
  </si>
  <si>
    <t>Cek BAPP Kemitraan</t>
  </si>
  <si>
    <t>Update Geodatabase</t>
  </si>
  <si>
    <t>Update Koordinat TPH</t>
  </si>
  <si>
    <t>Create Block SAP</t>
  </si>
  <si>
    <t>Rekap Data Replanting</t>
  </si>
  <si>
    <t>Rekap Data Cuci Parit</t>
  </si>
  <si>
    <t>Monitoring Patok HGU</t>
  </si>
  <si>
    <t>Desktop Study</t>
  </si>
  <si>
    <t>Step 1</t>
  </si>
  <si>
    <t>Latar Belakang</t>
  </si>
  <si>
    <t>KPI ytd Juni 2026</t>
  </si>
  <si>
    <t>Provide Aerial Survey (Exclude Kalteng)</t>
  </si>
  <si>
    <t>Image processing (HO)</t>
  </si>
  <si>
    <t>Plantation Progress Monitoring</t>
  </si>
  <si>
    <t>Production Line: TPH Inventory and verification</t>
  </si>
  <si>
    <t>Drainage Network Sanitation and Flow Engineering</t>
  </si>
  <si>
    <t>Dantotsu Water Management (EBL)</t>
  </si>
  <si>
    <t>Mapping Area 3rd Party Supplier TBS (NPN, EBL, GBSM, BBB)</t>
  </si>
  <si>
    <t>Leaf Nutrient Prediction Using Remote Sensing (K) - Busang &amp; SLE</t>
  </si>
  <si>
    <t>Enterprise GIS Development</t>
  </si>
  <si>
    <t>Digital Terrain Model (DTM) Generation</t>
  </si>
  <si>
    <t>Improvement Profile</t>
  </si>
  <si>
    <t>Target</t>
  </si>
  <si>
    <t>Aktual</t>
  </si>
  <si>
    <t>No</t>
  </si>
  <si>
    <t>%</t>
  </si>
  <si>
    <t>Dept</t>
  </si>
  <si>
    <t>RS</t>
  </si>
  <si>
    <t>GIS</t>
  </si>
  <si>
    <t>SA</t>
  </si>
  <si>
    <t>SUR</t>
  </si>
  <si>
    <t>Ultimate Goals</t>
  </si>
  <si>
    <t>Higest Yield CPO</t>
  </si>
  <si>
    <t>Eficiency cost</t>
  </si>
  <si>
    <t>Sustainability Growth</t>
  </si>
  <si>
    <t>5C</t>
  </si>
  <si>
    <t>Consumer</t>
  </si>
  <si>
    <t>Competitor</t>
  </si>
  <si>
    <t>Climate Business Change</t>
  </si>
  <si>
    <t>Company</t>
  </si>
  <si>
    <t>Colaborator</t>
  </si>
  <si>
    <t>Aspek Operasional</t>
  </si>
  <si>
    <t>Data Estimasi</t>
  </si>
  <si>
    <t>Dampak Biaya</t>
  </si>
  <si>
    <t xml:space="preserve">SWOT </t>
  </si>
  <si>
    <t>TOWS</t>
  </si>
  <si>
    <t>2 aspek ini yang terkait</t>
  </si>
  <si>
    <t>GENBA</t>
  </si>
  <si>
    <t>Checklist kelengkapan dan kesesuaian Geodatabase All Estate</t>
  </si>
  <si>
    <t>RINCIAN ENTERPRISE GIS</t>
  </si>
  <si>
    <t>Kelompok Kegiatan</t>
  </si>
  <si>
    <t>Rincian Aktivitas</t>
  </si>
  <si>
    <t>1. Perencanaan</t>
  </si>
  <si>
    <t>Analisis kebutuhan bisnis, identifikasi stakeholder, penyusunan roadmap Enterprise GIS, penyusunan standar data spasial</t>
  </si>
  <si>
    <t>2. Infrastruktur</t>
  </si>
  <si>
    <t>Pengadaan server GIS, instalasi database, konfigurasi web server, storage, backup, disaster recovery</t>
  </si>
  <si>
    <t>3. Database Spasial</t>
  </si>
  <si>
    <t>4. Integrasi Data</t>
  </si>
  <si>
    <t>5. Akuisisi Data</t>
  </si>
  <si>
    <t>Survey GPS, Drone Mapping, Mobile GIS, digitasi, validasi lapangan</t>
  </si>
  <si>
    <t>6. Pengelolaan Data</t>
  </si>
  <si>
    <t>7. Analisis Spasial</t>
  </si>
  <si>
    <t>Overlay, buffer, suitability analysis, network analysis, deforestation analysis, hotspot, change detection</t>
  </si>
  <si>
    <t>8. WebGIS</t>
  </si>
  <si>
    <t>9. Mobile GIS</t>
  </si>
  <si>
    <t>10. Otomasi</t>
  </si>
  <si>
    <t>11. Dashboard &amp; Reporting</t>
  </si>
  <si>
    <t>Dashboard operasional, KPI spasial, monitoring progres, executive dashboard</t>
  </si>
  <si>
    <t>12. Keamanan</t>
  </si>
  <si>
    <t>Hak akses user, role management, audit log, enkripsi, authentication</t>
  </si>
  <si>
    <t>13. Integrasi Sistem</t>
  </si>
  <si>
    <t>Integrasi ERP, HR, Asset Management, SAP, EUDR, RSPO, Power BI</t>
  </si>
  <si>
    <t>14. Pelatihan</t>
  </si>
  <si>
    <t>Training admin GIS, operator GIS, user bisnis</t>
  </si>
  <si>
    <t>15. Operasional</t>
  </si>
  <si>
    <t>Monitoring server, maintenance, update software, troubleshooting, helpdesk</t>
  </si>
  <si>
    <t>16. Pengembangan</t>
  </si>
  <si>
    <t>Pengembangan aplikasi GIS baru sesuai kebutuhan bisnis</t>
  </si>
  <si>
    <t>Progress %</t>
  </si>
  <si>
    <r>
      <rPr>
        <b/>
        <sz val="11"/>
        <color theme="1"/>
        <rFont val="Aptos Narrow"/>
        <family val="2"/>
        <scheme val="minor"/>
      </rPr>
      <t>Import SHP, Excel</t>
    </r>
    <r>
      <rPr>
        <sz val="11"/>
        <color theme="1"/>
        <rFont val="Aptos Narrow"/>
        <family val="2"/>
        <scheme val="minor"/>
      </rPr>
      <t>, GPS, Drone, ERP, IoT, sensor lapangan</t>
    </r>
  </si>
  <si>
    <r>
      <rPr>
        <b/>
        <sz val="11"/>
        <color theme="1"/>
        <rFont val="Aptos Narrow"/>
        <family val="2"/>
        <scheme val="minor"/>
      </rPr>
      <t>Desain geodatabase</t>
    </r>
    <r>
      <rPr>
        <sz val="11"/>
        <color theme="1"/>
        <rFont val="Aptos Narrow"/>
        <family val="2"/>
        <scheme val="minor"/>
      </rPr>
      <t>, pembuatan schema, domain, subtype, relationship class, versioning, indexing</t>
    </r>
  </si>
  <si>
    <r>
      <rPr>
        <b/>
        <sz val="11"/>
        <color theme="1"/>
        <rFont val="Aptos Narrow"/>
        <family val="2"/>
        <scheme val="minor"/>
      </rPr>
      <t>Editing,</t>
    </r>
    <r>
      <rPr>
        <sz val="11"/>
        <color theme="1"/>
        <rFont val="Aptos Narrow"/>
        <family val="2"/>
        <scheme val="minor"/>
      </rPr>
      <t xml:space="preserve"> QC/QA, topology checking, metadata, update data berkala</t>
    </r>
  </si>
  <si>
    <r>
      <rPr>
        <b/>
        <sz val="11"/>
        <color theme="1"/>
        <rFont val="Aptos Narrow"/>
        <family val="2"/>
        <scheme val="minor"/>
      </rPr>
      <t xml:space="preserve">Pengembangan portal GIS, dashboard, web map, layer service, </t>
    </r>
    <r>
      <rPr>
        <sz val="11"/>
        <color theme="1"/>
        <rFont val="Aptos Narrow"/>
        <family val="2"/>
        <scheme val="minor"/>
      </rPr>
      <t>feature service</t>
    </r>
  </si>
  <si>
    <r>
      <rPr>
        <b/>
        <sz val="11"/>
        <color theme="1"/>
        <rFont val="Aptos Narrow"/>
        <family val="2"/>
        <scheme val="minor"/>
      </rPr>
      <t>Form survey, offline map, sinkronisasi data lapangan,</t>
    </r>
    <r>
      <rPr>
        <sz val="11"/>
        <color theme="1"/>
        <rFont val="Aptos Narrow"/>
        <family val="2"/>
        <scheme val="minor"/>
      </rPr>
      <t xml:space="preserve"> tracking petugas</t>
    </r>
  </si>
  <si>
    <r>
      <rPr>
        <b/>
        <sz val="11"/>
        <color theme="1"/>
        <rFont val="Aptos Narrow"/>
        <family val="2"/>
        <scheme val="minor"/>
      </rPr>
      <t>Python scripting,</t>
    </r>
    <r>
      <rPr>
        <sz val="11"/>
        <color theme="1"/>
        <rFont val="Aptos Narrow"/>
        <family val="2"/>
        <scheme val="minor"/>
      </rPr>
      <t xml:space="preserve"> ETL, scheduled process, </t>
    </r>
    <r>
      <rPr>
        <b/>
        <sz val="11"/>
        <color theme="1"/>
        <rFont val="Aptos Narrow"/>
        <family val="2"/>
        <scheme val="minor"/>
      </rPr>
      <t>batch processing, report otomatis</t>
    </r>
  </si>
  <si>
    <t>Notulen Meeting QCC</t>
  </si>
  <si>
    <t>Replanting design Implementation &amp; Monitoring (EBL, DLJ, FLTI)</t>
  </si>
  <si>
    <t>Brainstorming</t>
  </si>
  <si>
    <t>Yanuar</t>
  </si>
  <si>
    <t>Mitra</t>
  </si>
  <si>
    <t>Mitha</t>
  </si>
  <si>
    <t>Depta</t>
  </si>
  <si>
    <t>Khabib</t>
  </si>
  <si>
    <t>Peserta Meeting :</t>
  </si>
  <si>
    <t>29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</si>
</sst>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" fontId="0" fillId="0" borderId="1" xfId="0" applyNumberFormat="1" applyBorder="1"/>
    <xf numFmtId="9" fontId="0" fillId="0" borderId="1" xfId="2" applyFont="1" applyBorder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" fontId="0" fillId="4" borderId="1" xfId="0" applyNumberFormat="1" applyFill="1" applyBorder="1"/>
    <xf numFmtId="9" fontId="0" fillId="4" borderId="1" xfId="2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" fontId="0" fillId="0" borderId="1" xfId="0" applyNumberFormat="1" applyFill="1" applyBorder="1"/>
    <xf numFmtId="9" fontId="0" fillId="0" borderId="1" xfId="2" applyFont="1" applyFill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right" indent="1"/>
    </xf>
    <xf numFmtId="166" fontId="0" fillId="0" borderId="1" xfId="1" applyNumberFormat="1" applyFont="1" applyBorder="1" applyAlignment="1">
      <alignment horizontal="center"/>
    </xf>
    <xf numFmtId="0" fontId="5" fillId="0" borderId="0" xfId="0" applyFont="1"/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0" xfId="0" applyFont="1"/>
    <xf numFmtId="0" fontId="2" fillId="5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8A31A-1B38-4715-808D-9A79FB298855}">
  <dimension ref="B2:H87"/>
  <sheetViews>
    <sheetView tabSelected="1" zoomScaleNormal="100" workbookViewId="0">
      <selection activeCell="F21" sqref="F21"/>
    </sheetView>
  </sheetViews>
  <sheetFormatPr defaultRowHeight="15" x14ac:dyDescent="0.25"/>
  <cols>
    <col min="3" max="3" width="9.5703125" style="1" customWidth="1"/>
    <col min="4" max="4" width="11" style="1" customWidth="1"/>
    <col min="5" max="5" width="112.7109375" style="1" bestFit="1" customWidth="1"/>
    <col min="6" max="6" width="21.42578125" style="1" bestFit="1" customWidth="1"/>
    <col min="7" max="7" width="13.42578125" bestFit="1" customWidth="1"/>
    <col min="8" max="8" width="13.5703125" bestFit="1" customWidth="1"/>
    <col min="9" max="9" width="10.140625" customWidth="1"/>
    <col min="10" max="10" width="7.42578125" customWidth="1"/>
  </cols>
  <sheetData>
    <row r="2" spans="3:5" ht="26.25" x14ac:dyDescent="0.4">
      <c r="C2" s="26" t="s">
        <v>88</v>
      </c>
      <c r="D2"/>
      <c r="E2"/>
    </row>
    <row r="3" spans="3:5" ht="15.75" x14ac:dyDescent="0.25">
      <c r="C3" s="30" t="s">
        <v>97</v>
      </c>
      <c r="D3"/>
      <c r="E3"/>
    </row>
    <row r="4" spans="3:5" ht="15.75" x14ac:dyDescent="0.25">
      <c r="C4" s="30" t="s">
        <v>96</v>
      </c>
      <c r="D4"/>
      <c r="E4" t="s">
        <v>91</v>
      </c>
    </row>
    <row r="5" spans="3:5" ht="15.75" x14ac:dyDescent="0.25">
      <c r="C5" s="3"/>
      <c r="D5"/>
      <c r="E5" t="s">
        <v>92</v>
      </c>
    </row>
    <row r="6" spans="3:5" ht="15.75" x14ac:dyDescent="0.25">
      <c r="C6" s="3"/>
      <c r="D6"/>
      <c r="E6" t="s">
        <v>93</v>
      </c>
    </row>
    <row r="7" spans="3:5" ht="15.75" x14ac:dyDescent="0.25">
      <c r="C7" s="3"/>
      <c r="D7"/>
      <c r="E7" t="s">
        <v>94</v>
      </c>
    </row>
    <row r="8" spans="3:5" ht="15.75" x14ac:dyDescent="0.25">
      <c r="C8" s="3"/>
      <c r="D8"/>
      <c r="E8" t="s">
        <v>95</v>
      </c>
    </row>
    <row r="11" spans="3:5" x14ac:dyDescent="0.25">
      <c r="C11" s="2" t="s">
        <v>90</v>
      </c>
      <c r="D11"/>
    </row>
    <row r="12" spans="3:5" ht="18.75" x14ac:dyDescent="0.3">
      <c r="C12" s="4" t="s">
        <v>0</v>
      </c>
      <c r="D12"/>
    </row>
    <row r="13" spans="3:5" x14ac:dyDescent="0.25">
      <c r="C13" s="1">
        <v>1</v>
      </c>
      <c r="D13" t="s">
        <v>1</v>
      </c>
    </row>
    <row r="14" spans="3:5" x14ac:dyDescent="0.25">
      <c r="C14" s="1">
        <v>2</v>
      </c>
      <c r="D14" t="s">
        <v>2</v>
      </c>
    </row>
    <row r="15" spans="3:5" x14ac:dyDescent="0.25">
      <c r="C15" s="1">
        <v>3</v>
      </c>
      <c r="D15" t="s">
        <v>3</v>
      </c>
    </row>
    <row r="16" spans="3:5" x14ac:dyDescent="0.25">
      <c r="C16" s="1">
        <v>4</v>
      </c>
      <c r="D16" t="s">
        <v>4</v>
      </c>
    </row>
    <row r="17" spans="3:8" x14ac:dyDescent="0.25">
      <c r="C17" s="1">
        <v>5</v>
      </c>
      <c r="D17" t="s">
        <v>5</v>
      </c>
    </row>
    <row r="18" spans="3:8" x14ac:dyDescent="0.25">
      <c r="C18" s="1">
        <v>6</v>
      </c>
      <c r="D18" t="s">
        <v>6</v>
      </c>
    </row>
    <row r="19" spans="3:8" x14ac:dyDescent="0.25">
      <c r="C19" s="1">
        <v>7</v>
      </c>
      <c r="D19" t="s">
        <v>7</v>
      </c>
    </row>
    <row r="20" spans="3:8" x14ac:dyDescent="0.25">
      <c r="C20" s="1">
        <v>8</v>
      </c>
      <c r="D20" t="s">
        <v>8</v>
      </c>
    </row>
    <row r="21" spans="3:8" x14ac:dyDescent="0.25">
      <c r="C21" s="1">
        <v>9</v>
      </c>
      <c r="D21" t="s">
        <v>9</v>
      </c>
    </row>
    <row r="22" spans="3:8" x14ac:dyDescent="0.25">
      <c r="C22" s="1">
        <v>10</v>
      </c>
      <c r="D22" t="s">
        <v>10</v>
      </c>
    </row>
    <row r="24" spans="3:8" ht="18.75" x14ac:dyDescent="0.3">
      <c r="C24" s="4" t="s">
        <v>11</v>
      </c>
      <c r="D24" s="4"/>
      <c r="E24" s="4" t="s">
        <v>12</v>
      </c>
      <c r="F24" s="2"/>
    </row>
    <row r="26" spans="3:8" x14ac:dyDescent="0.25">
      <c r="C26" s="7" t="s">
        <v>27</v>
      </c>
      <c r="D26" s="7" t="s">
        <v>29</v>
      </c>
      <c r="E26" s="7" t="s">
        <v>13</v>
      </c>
      <c r="F26" s="7" t="s">
        <v>25</v>
      </c>
      <c r="G26" s="7" t="s">
        <v>26</v>
      </c>
      <c r="H26" s="7" t="s">
        <v>28</v>
      </c>
    </row>
    <row r="27" spans="3:8" x14ac:dyDescent="0.25">
      <c r="C27" s="11">
        <v>1</v>
      </c>
      <c r="D27" s="11" t="s">
        <v>31</v>
      </c>
      <c r="E27" s="12" t="s">
        <v>22</v>
      </c>
      <c r="F27" s="13"/>
      <c r="G27" s="13"/>
      <c r="H27" s="14">
        <v>0</v>
      </c>
    </row>
    <row r="28" spans="3:8" x14ac:dyDescent="0.25">
      <c r="C28" s="15">
        <v>2</v>
      </c>
      <c r="D28" s="15" t="s">
        <v>30</v>
      </c>
      <c r="E28" s="16" t="s">
        <v>14</v>
      </c>
      <c r="F28" s="17">
        <v>16</v>
      </c>
      <c r="G28" s="17">
        <v>7</v>
      </c>
      <c r="H28" s="18">
        <f>G28/F28</f>
        <v>0.4375</v>
      </c>
    </row>
    <row r="29" spans="3:8" x14ac:dyDescent="0.25">
      <c r="C29" s="5">
        <v>3</v>
      </c>
      <c r="D29" s="5" t="s">
        <v>30</v>
      </c>
      <c r="E29" s="6" t="s">
        <v>15</v>
      </c>
      <c r="F29" s="8">
        <v>16</v>
      </c>
      <c r="G29" s="8">
        <v>11</v>
      </c>
      <c r="H29" s="9">
        <f>G29/F29</f>
        <v>0.6875</v>
      </c>
    </row>
    <row r="30" spans="3:8" x14ac:dyDescent="0.25">
      <c r="C30" s="5">
        <v>4</v>
      </c>
      <c r="D30" s="5" t="s">
        <v>32</v>
      </c>
      <c r="E30" s="10" t="s">
        <v>20</v>
      </c>
      <c r="F30" s="8">
        <v>45</v>
      </c>
      <c r="G30" s="8">
        <v>34.4</v>
      </c>
      <c r="H30" s="9">
        <f>G30/F30</f>
        <v>0.76444444444444437</v>
      </c>
    </row>
    <row r="31" spans="3:8" x14ac:dyDescent="0.25">
      <c r="C31" s="5">
        <v>5</v>
      </c>
      <c r="D31" s="5" t="s">
        <v>32</v>
      </c>
      <c r="E31" s="10" t="s">
        <v>21</v>
      </c>
      <c r="F31" s="8">
        <v>90</v>
      </c>
      <c r="G31" s="8">
        <v>70</v>
      </c>
      <c r="H31" s="9">
        <f>G31/F31</f>
        <v>0.77777777777777779</v>
      </c>
    </row>
    <row r="32" spans="3:8" x14ac:dyDescent="0.25">
      <c r="C32" s="5">
        <v>6</v>
      </c>
      <c r="D32" s="5" t="s">
        <v>31</v>
      </c>
      <c r="E32" s="10" t="s">
        <v>17</v>
      </c>
      <c r="F32" s="8">
        <v>50</v>
      </c>
      <c r="G32" s="8">
        <v>41.55</v>
      </c>
      <c r="H32" s="9">
        <f>G32/F32</f>
        <v>0.83099999999999996</v>
      </c>
    </row>
    <row r="33" spans="2:8" x14ac:dyDescent="0.25">
      <c r="C33" s="5">
        <v>7</v>
      </c>
      <c r="D33" s="5" t="s">
        <v>33</v>
      </c>
      <c r="E33" s="6" t="s">
        <v>24</v>
      </c>
      <c r="F33" s="8">
        <v>8</v>
      </c>
      <c r="G33" s="8">
        <v>7</v>
      </c>
      <c r="H33" s="9">
        <f>G33/F33</f>
        <v>0.875</v>
      </c>
    </row>
    <row r="34" spans="2:8" x14ac:dyDescent="0.25">
      <c r="C34" s="5">
        <v>8</v>
      </c>
      <c r="D34" s="5" t="s">
        <v>31</v>
      </c>
      <c r="E34" s="6" t="s">
        <v>16</v>
      </c>
      <c r="F34" s="8">
        <v>100</v>
      </c>
      <c r="G34" s="8">
        <v>91</v>
      </c>
      <c r="H34" s="9">
        <f>G34/F34</f>
        <v>0.91</v>
      </c>
    </row>
    <row r="35" spans="2:8" x14ac:dyDescent="0.25">
      <c r="C35" s="5">
        <v>9</v>
      </c>
      <c r="D35" s="5" t="s">
        <v>31</v>
      </c>
      <c r="E35" s="6" t="s">
        <v>89</v>
      </c>
      <c r="F35" s="8">
        <v>60</v>
      </c>
      <c r="G35" s="8">
        <v>55</v>
      </c>
      <c r="H35" s="9">
        <f>G35/F35</f>
        <v>0.91666666666666663</v>
      </c>
    </row>
    <row r="36" spans="2:8" x14ac:dyDescent="0.25">
      <c r="C36" s="5">
        <v>10</v>
      </c>
      <c r="D36" s="5" t="s">
        <v>31</v>
      </c>
      <c r="E36" s="6" t="s">
        <v>18</v>
      </c>
      <c r="F36" s="8">
        <v>75</v>
      </c>
      <c r="G36" s="8">
        <v>70</v>
      </c>
      <c r="H36" s="9">
        <f>G36/F36</f>
        <v>0.93333333333333335</v>
      </c>
    </row>
    <row r="37" spans="2:8" x14ac:dyDescent="0.25">
      <c r="C37" s="5">
        <v>11</v>
      </c>
      <c r="D37" s="5" t="s">
        <v>32</v>
      </c>
      <c r="E37" s="6" t="s">
        <v>19</v>
      </c>
      <c r="F37" s="8">
        <v>60</v>
      </c>
      <c r="G37" s="8">
        <v>59</v>
      </c>
      <c r="H37" s="9">
        <f>G37/F37</f>
        <v>0.98333333333333328</v>
      </c>
    </row>
    <row r="38" spans="2:8" x14ac:dyDescent="0.25">
      <c r="C38" s="5">
        <v>12</v>
      </c>
      <c r="D38" s="5" t="s">
        <v>30</v>
      </c>
      <c r="E38" s="6" t="s">
        <v>23</v>
      </c>
      <c r="F38" s="8">
        <v>4</v>
      </c>
      <c r="G38" s="8">
        <v>4</v>
      </c>
      <c r="H38" s="9">
        <f>G38/F38</f>
        <v>1</v>
      </c>
    </row>
    <row r="40" spans="2:8" x14ac:dyDescent="0.25">
      <c r="E40" s="19"/>
    </row>
    <row r="41" spans="2:8" ht="18.75" x14ac:dyDescent="0.3">
      <c r="E41" s="20" t="s">
        <v>22</v>
      </c>
    </row>
    <row r="43" spans="2:8" x14ac:dyDescent="0.25">
      <c r="C43" s="31" t="s">
        <v>34</v>
      </c>
      <c r="D43" s="31"/>
    </row>
    <row r="44" spans="2:8" x14ac:dyDescent="0.25">
      <c r="B44">
        <v>1</v>
      </c>
      <c r="C44" s="32" t="s">
        <v>35</v>
      </c>
      <c r="D44" s="32"/>
      <c r="E44" s="34" t="s">
        <v>49</v>
      </c>
    </row>
    <row r="45" spans="2:8" x14ac:dyDescent="0.25">
      <c r="B45">
        <v>2</v>
      </c>
      <c r="C45" s="32" t="s">
        <v>36</v>
      </c>
      <c r="D45" s="32"/>
      <c r="E45" s="34"/>
    </row>
    <row r="46" spans="2:8" x14ac:dyDescent="0.25">
      <c r="B46">
        <v>3</v>
      </c>
      <c r="C46" s="33" t="s">
        <v>37</v>
      </c>
      <c r="D46" s="33"/>
    </row>
    <row r="48" spans="2:8" x14ac:dyDescent="0.25">
      <c r="E48" s="22" t="s">
        <v>38</v>
      </c>
      <c r="F48" s="22" t="s">
        <v>44</v>
      </c>
      <c r="G48" s="22" t="s">
        <v>45</v>
      </c>
      <c r="H48" s="22" t="s">
        <v>46</v>
      </c>
    </row>
    <row r="49" spans="2:8" x14ac:dyDescent="0.25">
      <c r="E49" s="21" t="s">
        <v>39</v>
      </c>
      <c r="F49" s="6"/>
      <c r="G49" s="6"/>
      <c r="H49" s="6"/>
    </row>
    <row r="50" spans="2:8" x14ac:dyDescent="0.25">
      <c r="E50" s="21" t="s">
        <v>40</v>
      </c>
      <c r="F50" s="6"/>
      <c r="G50" s="6"/>
      <c r="H50" s="6"/>
    </row>
    <row r="51" spans="2:8" x14ac:dyDescent="0.25">
      <c r="E51" s="21" t="s">
        <v>41</v>
      </c>
      <c r="F51" s="6"/>
      <c r="G51" s="6"/>
      <c r="H51" s="6"/>
    </row>
    <row r="52" spans="2:8" x14ac:dyDescent="0.25">
      <c r="E52" s="21" t="s">
        <v>42</v>
      </c>
      <c r="F52" s="6"/>
      <c r="G52" s="6"/>
      <c r="H52" s="6"/>
    </row>
    <row r="53" spans="2:8" x14ac:dyDescent="0.25">
      <c r="E53" s="21" t="s">
        <v>43</v>
      </c>
      <c r="F53" s="6"/>
      <c r="G53" s="6"/>
      <c r="H53" s="6"/>
    </row>
    <row r="56" spans="2:8" x14ac:dyDescent="0.25">
      <c r="E56" s="23" t="s">
        <v>47</v>
      </c>
      <c r="F56" s="23" t="s">
        <v>48</v>
      </c>
    </row>
    <row r="62" spans="2:8" x14ac:dyDescent="0.25">
      <c r="E62" s="23" t="s">
        <v>52</v>
      </c>
    </row>
    <row r="63" spans="2:8" x14ac:dyDescent="0.25">
      <c r="B63" s="27" t="s">
        <v>53</v>
      </c>
      <c r="C63" s="27"/>
      <c r="D63" s="28"/>
      <c r="E63" s="7" t="s">
        <v>54</v>
      </c>
      <c r="F63" s="7" t="s">
        <v>81</v>
      </c>
    </row>
    <row r="64" spans="2:8" x14ac:dyDescent="0.25">
      <c r="B64" s="29" t="s">
        <v>55</v>
      </c>
      <c r="C64" s="29"/>
      <c r="D64" s="29"/>
      <c r="E64" s="21" t="s">
        <v>56</v>
      </c>
      <c r="F64" s="25">
        <v>100</v>
      </c>
    </row>
    <row r="65" spans="2:6" x14ac:dyDescent="0.25">
      <c r="B65" s="29" t="s">
        <v>57</v>
      </c>
      <c r="C65" s="29"/>
      <c r="D65" s="29"/>
      <c r="E65" s="21" t="s">
        <v>58</v>
      </c>
      <c r="F65" s="25">
        <v>60</v>
      </c>
    </row>
    <row r="66" spans="2:6" x14ac:dyDescent="0.25">
      <c r="B66" s="29" t="s">
        <v>59</v>
      </c>
      <c r="C66" s="29"/>
      <c r="D66" s="29"/>
      <c r="E66" s="21" t="s">
        <v>83</v>
      </c>
      <c r="F66" s="25">
        <f>1/7*100</f>
        <v>14.285714285714285</v>
      </c>
    </row>
    <row r="67" spans="2:6" x14ac:dyDescent="0.25">
      <c r="B67" s="29" t="s">
        <v>60</v>
      </c>
      <c r="C67" s="29"/>
      <c r="D67" s="29"/>
      <c r="E67" s="21" t="s">
        <v>82</v>
      </c>
      <c r="F67" s="25">
        <f>2/7*100</f>
        <v>28.571428571428569</v>
      </c>
    </row>
    <row r="68" spans="2:6" x14ac:dyDescent="0.25">
      <c r="B68" s="29" t="s">
        <v>61</v>
      </c>
      <c r="C68" s="29"/>
      <c r="D68" s="29"/>
      <c r="E68" s="21" t="s">
        <v>62</v>
      </c>
      <c r="F68" s="25">
        <v>100</v>
      </c>
    </row>
    <row r="69" spans="2:6" x14ac:dyDescent="0.25">
      <c r="B69" s="29" t="s">
        <v>63</v>
      </c>
      <c r="C69" s="29"/>
      <c r="D69" s="29"/>
      <c r="E69" s="21" t="s">
        <v>84</v>
      </c>
      <c r="F69" s="25">
        <f>1/5*100</f>
        <v>20</v>
      </c>
    </row>
    <row r="70" spans="2:6" x14ac:dyDescent="0.25">
      <c r="B70" s="29" t="s">
        <v>64</v>
      </c>
      <c r="C70" s="29"/>
      <c r="D70" s="29"/>
      <c r="E70" s="21" t="s">
        <v>65</v>
      </c>
      <c r="F70" s="25">
        <v>100</v>
      </c>
    </row>
    <row r="71" spans="2:6" x14ac:dyDescent="0.25">
      <c r="B71" s="29" t="s">
        <v>66</v>
      </c>
      <c r="C71" s="29"/>
      <c r="D71" s="29"/>
      <c r="E71" s="21" t="s">
        <v>85</v>
      </c>
      <c r="F71" s="25">
        <f>4/5*100</f>
        <v>80</v>
      </c>
    </row>
    <row r="72" spans="2:6" x14ac:dyDescent="0.25">
      <c r="B72" s="29" t="s">
        <v>67</v>
      </c>
      <c r="C72" s="29"/>
      <c r="D72" s="29"/>
      <c r="E72" s="21" t="s">
        <v>86</v>
      </c>
      <c r="F72" s="25">
        <f>3/4*100</f>
        <v>75</v>
      </c>
    </row>
    <row r="73" spans="2:6" x14ac:dyDescent="0.25">
      <c r="B73" s="29" t="s">
        <v>68</v>
      </c>
      <c r="C73" s="29"/>
      <c r="D73" s="29"/>
      <c r="E73" s="21" t="s">
        <v>87</v>
      </c>
      <c r="F73" s="25">
        <f>3/5*100</f>
        <v>60</v>
      </c>
    </row>
    <row r="74" spans="2:6" x14ac:dyDescent="0.25">
      <c r="B74" s="29" t="s">
        <v>69</v>
      </c>
      <c r="C74" s="29"/>
      <c r="D74" s="29"/>
      <c r="E74" s="21" t="s">
        <v>70</v>
      </c>
      <c r="F74" s="25">
        <v>0</v>
      </c>
    </row>
    <row r="75" spans="2:6" x14ac:dyDescent="0.25">
      <c r="B75" s="29" t="s">
        <v>71</v>
      </c>
      <c r="C75" s="29"/>
      <c r="D75" s="29"/>
      <c r="E75" s="21" t="s">
        <v>72</v>
      </c>
      <c r="F75" s="25"/>
    </row>
    <row r="76" spans="2:6" x14ac:dyDescent="0.25">
      <c r="B76" s="29" t="s">
        <v>73</v>
      </c>
      <c r="C76" s="29"/>
      <c r="D76" s="29"/>
      <c r="E76" s="21" t="s">
        <v>74</v>
      </c>
      <c r="F76" s="25"/>
    </row>
    <row r="77" spans="2:6" x14ac:dyDescent="0.25">
      <c r="B77" s="29" t="s">
        <v>75</v>
      </c>
      <c r="C77" s="29"/>
      <c r="D77" s="29"/>
      <c r="E77" s="21" t="s">
        <v>76</v>
      </c>
      <c r="F77" s="25"/>
    </row>
    <row r="78" spans="2:6" x14ac:dyDescent="0.25">
      <c r="B78" s="29" t="s">
        <v>77</v>
      </c>
      <c r="C78" s="29"/>
      <c r="D78" s="29"/>
      <c r="E78" s="21" t="s">
        <v>78</v>
      </c>
      <c r="F78" s="25"/>
    </row>
    <row r="79" spans="2:6" x14ac:dyDescent="0.25">
      <c r="B79" s="29" t="s">
        <v>79</v>
      </c>
      <c r="C79" s="29"/>
      <c r="D79" s="29"/>
      <c r="E79" s="21" t="s">
        <v>80</v>
      </c>
      <c r="F79" s="25"/>
    </row>
    <row r="80" spans="2:6" x14ac:dyDescent="0.25">
      <c r="E80" s="19"/>
    </row>
    <row r="81" spans="4:5" x14ac:dyDescent="0.25">
      <c r="E81" s="19"/>
    </row>
    <row r="82" spans="4:5" x14ac:dyDescent="0.25">
      <c r="E82" s="19"/>
    </row>
    <row r="85" spans="4:5" x14ac:dyDescent="0.25">
      <c r="E85" s="23" t="s">
        <v>50</v>
      </c>
    </row>
    <row r="86" spans="4:5" x14ac:dyDescent="0.25">
      <c r="D86" s="24">
        <v>1</v>
      </c>
      <c r="E86" s="19" t="s">
        <v>51</v>
      </c>
    </row>
    <row r="87" spans="4:5" x14ac:dyDescent="0.25">
      <c r="D87" s="24">
        <v>2</v>
      </c>
      <c r="E87" s="19"/>
    </row>
  </sheetData>
  <mergeCells count="22">
    <mergeCell ref="B65:D65"/>
    <mergeCell ref="B66:D66"/>
    <mergeCell ref="B67:D67"/>
    <mergeCell ref="C43:D43"/>
    <mergeCell ref="C44:D44"/>
    <mergeCell ref="C45:D45"/>
    <mergeCell ref="C46:D46"/>
    <mergeCell ref="B74:D74"/>
    <mergeCell ref="B75:D75"/>
    <mergeCell ref="B76:D76"/>
    <mergeCell ref="B77:D77"/>
    <mergeCell ref="B78:D78"/>
    <mergeCell ref="B79:D79"/>
    <mergeCell ref="B68:D68"/>
    <mergeCell ref="B69:D69"/>
    <mergeCell ref="B70:D70"/>
    <mergeCell ref="B71:D71"/>
    <mergeCell ref="B72:D72"/>
    <mergeCell ref="B73:D73"/>
    <mergeCell ref="E44:E45"/>
    <mergeCell ref="B63:D63"/>
    <mergeCell ref="B64:D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Hastuti Dyah Prajna Paramithasari</dc:creator>
  <cp:lastModifiedBy>Hastuti Dyah Prajna Paramithasari</cp:lastModifiedBy>
  <dcterms:created xsi:type="dcterms:W3CDTF">2026-07-29T06:21:54Z</dcterms:created>
  <dcterms:modified xsi:type="dcterms:W3CDTF">2026-07-29T08:41:00Z</dcterms:modified>
</cp:coreProperties>
</file>